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Dashboard" sheetId="1" r:id="rId5"/>
    <sheet state="visible" name="Ordine Mensa" sheetId="2" r:id="rId6"/>
    <sheet state="visible" name="Alunni" sheetId="3" r:id="rId7"/>
    <sheet state="visible" name="Famiglie" sheetId="4" r:id="rId8"/>
    <sheet state="visible" name="Impostazioni" sheetId="5" r:id="rId9"/>
  </sheets>
  <definedNames/>
  <calcPr/>
</workbook>
</file>

<file path=xl/sharedStrings.xml><?xml version="1.0" encoding="utf-8"?>
<sst xmlns="http://schemas.openxmlformats.org/spreadsheetml/2006/main" count="65" uniqueCount="62">
  <si>
    <r>
      <rPr>
        <rFont val="Pacifico"/>
        <b/>
        <i/>
        <color rgb="FF4285F4"/>
        <sz val="16.0"/>
      </rPr>
      <t>YEP</t>
    </r>
    <r>
      <rPr>
        <rFont val="Pacifico"/>
        <b/>
        <i/>
        <color rgb="FFFF0000"/>
        <sz val="16.0"/>
      </rPr>
      <t>!</t>
    </r>
  </si>
  <si>
    <t>Nome</t>
  </si>
  <si>
    <t>Cognome</t>
  </si>
  <si>
    <t>I pulsanti operativi (ordina, stampa, reset, ...) sono tutti funzionanti.</t>
  </si>
  <si>
    <t xml:space="preserve">Data di nascita </t>
  </si>
  <si>
    <t>ID</t>
  </si>
  <si>
    <t xml:space="preserve">Biglietti acquistati </t>
  </si>
  <si>
    <t>Utilizza Biglietto mensa cliccando sul pulsante</t>
  </si>
  <si>
    <t xml:space="preserve">Totale biglietti utilizzati </t>
  </si>
  <si>
    <t xml:space="preserve">Totale biglietti rimanenti </t>
  </si>
  <si>
    <t xml:space="preserve">Status biglietti </t>
  </si>
  <si>
    <t>email notifica</t>
  </si>
  <si>
    <t xml:space="preserve">     Avvisa manualmente/ Cancella Avviso</t>
  </si>
  <si>
    <t>I pulsanti relativi agli alunni sono sempre funzionanti per Mario Rossi (usato come test) mentre per gli altri sono in fase di attivazione (si tratta solo di ripetere le operazioni fatte per Mario)</t>
  </si>
  <si>
    <t>Note</t>
  </si>
  <si>
    <t>Documenti/Bonifici eseguiti</t>
  </si>
  <si>
    <t>Check avviso</t>
  </si>
  <si>
    <t>Mario</t>
  </si>
  <si>
    <t>Rossi</t>
  </si>
  <si>
    <t>ORDINE PASTI MENSILE</t>
  </si>
  <si>
    <t>Modulo Fornitore</t>
  </si>
  <si>
    <t>Mese</t>
  </si>
  <si>
    <t>Anno</t>
  </si>
  <si>
    <t>Note per il Fornitore:</t>
  </si>
  <si>
    <t>Dicembre</t>
  </si>
  <si>
    <t>Email Notifica</t>
  </si>
  <si>
    <t>Specificare eventuali intolleranze o variazioni del menù concordato.</t>
  </si>
  <si>
    <t>Status Avviso</t>
  </si>
  <si>
    <t>Email Fornitore</t>
  </si>
  <si>
    <t>Invia a mese (1 per inviare)</t>
  </si>
  <si>
    <t>gianpiero.torrisi@gmail.com</t>
  </si>
  <si>
    <t>Totale mese</t>
  </si>
  <si>
    <t>Inviato</t>
  </si>
  <si>
    <t>Allergia a Licis</t>
  </si>
  <si>
    <t>https://drive.google.com/file/d/1Rd-ec4uSYa7zi4Z78IhNjBkKowyotckn/view?usp=drive_link</t>
  </si>
  <si>
    <t>Numero Pasti Totali Richiesti</t>
  </si>
  <si>
    <t>095 ########</t>
  </si>
  <si>
    <t>340 ########</t>
  </si>
  <si>
    <t>Bianca</t>
  </si>
  <si>
    <t>Bianchi</t>
  </si>
  <si>
    <t>Situazione</t>
  </si>
  <si>
    <t>email@email.com</t>
  </si>
  <si>
    <t>Riga test</t>
  </si>
  <si>
    <t>Ciccio</t>
  </si>
  <si>
    <t>Pasticcio</t>
  </si>
  <si>
    <t xml:space="preserve">Pasticcio </t>
  </si>
  <si>
    <t xml:space="preserve">Invia a mese </t>
  </si>
  <si>
    <t>Parametro</t>
  </si>
  <si>
    <t>Valore</t>
  </si>
  <si>
    <t>Soglia Minima</t>
  </si>
  <si>
    <t>Test Mode</t>
  </si>
  <si>
    <t>ON</t>
  </si>
  <si>
    <t>Email Test</t>
  </si>
  <si>
    <t>faroclaudio@gmail.com</t>
  </si>
  <si>
    <t>Oggetto Email Avviso</t>
  </si>
  <si>
    <t>Credito Mensa in esaurimento</t>
  </si>
  <si>
    <t>Testo Email</t>
  </si>
  <si>
    <t>Attenzione: il conto mensa ha raggiunto la soglia minima di [BIGLIETTI] buoni. Si prega di ricaricare l'IBAN XXX</t>
  </si>
  <si>
    <t>Testo Email Buono Usato</t>
  </si>
  <si>
    <t>Sul conto mensa con ID [ID] è stato utilizzato un buono pasto. Rimangono [RIMANENTI] biglietti.</t>
  </si>
  <si>
    <t>Testo Email Ordine Fornitore</t>
  </si>
  <si>
    <t>Si prega di procedere con numero [PASTI] pasti da fornire in data odierna.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</si>
</sst>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color theme="1"/>
      <name val="Roboto"/>
    </font>
    <font>
      <color theme="1"/>
      <name val="Arial"/>
      <scheme val="minor"/>
    </font>
    <font>
      <b/>
      <sz val="10.0"/>
      <color rgb="FFFFFFFF"/>
      <name val="Roboto"/>
    </font>
    <font>
      <sz val="10.0"/>
      <color rgb="FF192D3F"/>
      <name val="Roboto"/>
    </font>
    <font>
      <sz val="10.0"/>
      <color theme="1"/>
      <name val="Roboto"/>
    </font>
    <font>
      <b/>
      <sz val="15.0"/>
      <color rgb="FF1B365D"/>
      <name val="Roboto"/>
    </font>
    <font>
      <color rgb="FF434343"/>
      <name val="Roboto"/>
    </font>
    <font>
      <b/>
      <sz val="11.0"/>
      <color theme="1"/>
      <name val="Roboto"/>
    </font>
    <font>
      <color rgb="FFFFFFFF"/>
      <name val="Roboto"/>
    </font>
    <font>
      <b/>
      <sz val="11.0"/>
      <color rgb="FFFFFFFF"/>
      <name val="Roboto"/>
    </font>
    <font>
      <b/>
      <sz val="10.0"/>
      <color theme="1"/>
      <name val="Roboto"/>
    </font>
    <font>
      <color theme="0"/>
      <name val="Arial"/>
      <scheme val="minor"/>
    </font>
  </fonts>
  <fills count="13">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1B365D"/>
        <bgColor rgb="FF1B365D"/>
      </patternFill>
    </fill>
    <fill>
      <patternFill patternType="solid">
        <fgColor rgb="FFEAEFF7"/>
        <bgColor rgb="FFEAEFF7"/>
      </patternFill>
    </fill>
    <fill>
      <patternFill patternType="solid">
        <fgColor rgb="FFF7F9FC"/>
        <bgColor rgb="FFF7F9FC"/>
      </patternFill>
    </fill>
    <fill>
      <patternFill patternType="solid">
        <fgColor rgb="FF434343"/>
        <bgColor rgb="FF434343"/>
      </patternFill>
    </fill>
    <fill>
      <patternFill patternType="solid">
        <fgColor rgb="FFFDF8D8"/>
        <bgColor rgb="FFFDF8D8"/>
      </patternFill>
    </fill>
    <fill>
      <patternFill patternType="solid">
        <fgColor rgb="FFEDF4FC"/>
        <bgColor rgb="FFEDF4FC"/>
      </patternFill>
    </fill>
    <fill>
      <patternFill patternType="solid">
        <fgColor rgb="FFFFFF00"/>
        <bgColor rgb="FFFFFF00"/>
      </patternFill>
    </fill>
    <fill>
      <patternFill patternType="solid">
        <fgColor rgb="FF666666"/>
        <bgColor rgb="FF666666"/>
      </patternFill>
    </fill>
    <fill>
      <patternFill patternType="solid">
        <fgColor rgb="FFF4F7F9"/>
        <bgColor rgb="FFF4F7F9"/>
      </patternFill>
    </fill>
  </fills>
  <borders count="6">
    <border/>
    <border>
      <left style="thin">
        <color rgb="FFB2BFD8"/>
      </left>
      <right style="thin">
        <color rgb="FFB2BFD8"/>
      </right>
      <top style="thin">
        <color rgb="FFB2BFD8"/>
      </top>
      <bottom style="thin">
        <color rgb="FFB2BFD8"/>
      </bottom>
    </border>
    <border>
      <left style="thin">
        <color rgb="FF000000"/>
      </left>
      <right style="thin">
        <color rgb="FF000000"/>
      </right>
      <top style="thin">
        <color rgb="FF000000"/>
      </top>
      <bottom style="thin">
        <color rgb="FF000000"/>
      </bottom>
    </border>
    <border>
      <left style="thin">
        <color rgb="FFE5CC99"/>
      </left>
      <right style="thin">
        <color rgb="FFE5CC99"/>
      </right>
      <top style="thin">
        <color rgb="FFE5CC99"/>
      </top>
      <bottom style="thin">
        <color rgb="FFE5CC99"/>
      </bottom>
    </border>
    <border>
      <left>
        <color rgb="FF000000"/>
      </left>
      <right>
        <color rgb="FF000000"/>
      </right>
      <top>
        <color rgb="FF000000"/>
      </top>
      <bottom>
        <color rgb="FF000000"/>
      </bottom>
    </border>
    <border>
      <left style="thin">
        <color rgb="FFCCD8E5"/>
      </left>
      <right style="thin">
        <color rgb="FFCCD8E5"/>
      </right>
      <top style="thin">
        <color rgb="FFCCD8E5"/>
      </top>
      <bottom style="thin">
        <color rgb="FFCCD8E5"/>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3" fontId="1" numFmtId="0" xfId="0" applyFill="1" applyFont="1"/>
    <xf borderId="0" fillId="3" fontId="2" numFmtId="0" xfId="0" applyFill="1" applyFont="1"/>
    <xf borderId="0" fillId="4" fontId="3" numFmtId="0" xfId="0" applyAlignment="1" applyFill="1" applyFont="1">
      <alignment horizontal="center" readingOrder="0" shrinkToFit="0" vertical="center" wrapText="1"/>
    </xf>
    <xf borderId="1" fillId="5" fontId="4" numFmtId="0" xfId="0" applyAlignment="1" applyBorder="1" applyFill="1" applyFont="1">
      <alignment readingOrder="0"/>
    </xf>
    <xf borderId="1" fillId="5" fontId="4" numFmtId="0" xfId="0" applyBorder="1" applyFill="1" applyFont="1"/>
    <xf borderId="0" fillId="4" fontId="3" numFmtId="3" xfId="0" applyAlignment="1" applyFill="1" applyFont="1" applyNumberFormat="1">
      <alignment horizontal="center" readingOrder="0" shrinkToFit="0" vertical="center" wrapText="1"/>
    </xf>
    <xf borderId="0" fillId="3" fontId="1" numFmtId="0" xfId="0" applyAlignment="1" applyFill="1" applyFont="1">
      <alignment readingOrder="0"/>
    </xf>
    <xf borderId="0" fillId="0" fontId="1" numFmtId="0" xfId="0" applyAlignment="1" applyFont="1">
      <alignment vertical="center"/>
    </xf>
    <xf borderId="0" fillId="0" fontId="2" numFmtId="0" xfId="0" applyAlignment="1" applyFont="1">
      <alignment vertical="center"/>
    </xf>
    <xf borderId="0" fillId="3" fontId="5" numFmtId="0" xfId="0" applyAlignment="1" applyFill="1" applyFont="1">
      <alignment readingOrder="0" vertical="center"/>
    </xf>
    <xf borderId="0" fillId="0" fontId="1" numFmtId="0" xfId="0" applyFont="1"/>
    <xf borderId="2" fillId="3" fontId="5" numFmtId="0" xfId="0" applyAlignment="1" applyBorder="1" applyFill="1" applyFont="1">
      <alignment readingOrder="0" vertical="center"/>
    </xf>
    <xf borderId="2" fillId="3" fontId="5" numFmtId="164" xfId="0" applyAlignment="1" applyBorder="1" applyFill="1" applyFont="1" applyNumberFormat="1">
      <alignment readingOrder="0" vertical="center"/>
    </xf>
    <xf borderId="0" fillId="6" fontId="6" numFmtId="0" xfId="0" applyAlignment="1" applyFill="1" applyFont="1">
      <alignment readingOrder="0"/>
    </xf>
    <xf borderId="0" fillId="4" fontId="3" numFmtId="0" xfId="0" applyAlignment="1" applyFill="1" applyFont="1">
      <alignment horizontal="center" shrinkToFit="0" vertical="center" wrapText="1"/>
    </xf>
    <xf borderId="2" fillId="3" fontId="5" numFmtId="0" xfId="0" applyAlignment="1" applyBorder="1" applyFill="1" applyFont="1">
      <alignment horizontal="center" readingOrder="0" vertical="center"/>
    </xf>
    <xf borderId="0" fillId="6" fontId="7" numFmtId="0" xfId="0" applyAlignment="1" applyFill="1" applyFont="1">
      <alignment readingOrder="0"/>
    </xf>
    <xf borderId="0" fillId="6" fontId="1" numFmtId="0" xfId="0" applyFill="1" applyFont="1"/>
    <xf borderId="2" fillId="3" fontId="5" numFmtId="0" xfId="0" applyAlignment="1" applyBorder="1" applyFill="1" applyFont="1">
      <alignment horizontal="center" vertical="center"/>
    </xf>
    <xf borderId="0" fillId="4" fontId="3" numFmtId="0" xfId="0" applyAlignment="1" applyFill="1" applyFont="1">
      <alignment horizontal="center" readingOrder="0" shrinkToFit="0" vertical="center" wrapText="1"/>
    </xf>
    <xf borderId="2" fillId="3" fontId="5" numFmtId="3" xfId="0" applyAlignment="1" applyBorder="1" applyFill="1" applyFont="1" applyNumberFormat="1">
      <alignment readingOrder="0" vertical="center"/>
    </xf>
    <xf borderId="0" fillId="6" fontId="1" numFmtId="0" xfId="0" applyAlignment="1" applyFill="1" applyFont="1">
      <alignment horizontal="center" readingOrder="0"/>
    </xf>
    <xf borderId="0" fillId="4" fontId="3" numFmtId="3" xfId="0" applyAlignment="1" applyFill="1" applyFont="1" applyNumberFormat="1">
      <alignment horizontal="center" readingOrder="0" shrinkToFit="0" vertical="center" wrapText="1"/>
    </xf>
    <xf borderId="0" fillId="6" fontId="1" numFmtId="0" xfId="0" applyAlignment="1" applyFill="1" applyFont="1">
      <alignment readingOrder="0"/>
    </xf>
    <xf borderId="0" fillId="6" fontId="2" numFmtId="0" xfId="0" applyFill="1" applyFont="1"/>
    <xf borderId="0" fillId="7" fontId="2" numFmtId="0" xfId="0" applyFill="1" applyFont="1"/>
    <xf borderId="3" fillId="8" fontId="8" numFmtId="0" xfId="0" applyAlignment="1" applyBorder="1" applyFill="1" applyFont="1">
      <alignment horizontal="center" readingOrder="0" vertical="center"/>
    </xf>
    <xf borderId="0" fillId="4" fontId="3" numFmtId="0" xfId="0" applyAlignment="1" applyFill="1" applyFont="1">
      <alignment horizontal="center" readingOrder="0" shrinkToFit="0" vertical="center" wrapText="1"/>
    </xf>
    <xf borderId="2" fillId="3" fontId="5" numFmtId="3" xfId="0" applyAlignment="1" applyBorder="1" applyFill="1" applyFont="1" applyNumberFormat="1">
      <alignment vertical="center"/>
    </xf>
    <xf borderId="0" fillId="6" fontId="1" numFmtId="0" xfId="0" applyAlignment="1" applyFill="1" applyFont="1">
      <alignment readingOrder="0"/>
    </xf>
    <xf borderId="0" fillId="6" fontId="1" numFmtId="14" xfId="0" applyFill="1" applyFont="1" applyNumberFormat="1"/>
    <xf borderId="0" fillId="0" fontId="5" numFmtId="0" xfId="0" applyAlignment="1" applyFont="1">
      <alignment vertical="center"/>
    </xf>
    <xf borderId="0" fillId="0" fontId="5" numFmtId="0" xfId="0" applyAlignment="1" applyFont="1">
      <alignment readingOrder="0" vertical="center"/>
    </xf>
    <xf borderId="0" fillId="3" fontId="5" numFmtId="0" xfId="0" applyAlignment="1" applyFill="1" applyFont="1">
      <alignment readingOrder="0" vertical="center"/>
    </xf>
    <xf borderId="0" fillId="6" fontId="9" numFmtId="0" xfId="0" applyAlignment="1" applyFill="1" applyFont="1">
      <alignment horizontal="center" readingOrder="0" vertical="center"/>
    </xf>
    <xf borderId="0" fillId="6" fontId="1" numFmtId="0" xfId="0" applyAlignment="1" applyFill="1" applyFont="1">
      <alignment horizontal="right" readingOrder="0"/>
    </xf>
    <xf borderId="0" fillId="0" fontId="5" numFmtId="3" xfId="0" applyAlignment="1" applyFont="1" applyNumberFormat="1">
      <alignment readingOrder="0" vertical="center"/>
    </xf>
    <xf borderId="3" fillId="8" fontId="5" numFmtId="0" xfId="0" applyAlignment="1" applyBorder="1" applyFill="1" applyFont="1">
      <alignment horizontal="left" readingOrder="0" vertical="center"/>
    </xf>
    <xf borderId="0" fillId="3" fontId="5" numFmtId="0" xfId="0" applyAlignment="1" applyFill="1" applyFont="1">
      <alignment readingOrder="0" vertical="center"/>
    </xf>
    <xf borderId="0" fillId="9" fontId="5" numFmtId="0" xfId="0" applyAlignment="1" applyFill="1" applyFont="1">
      <alignment readingOrder="0" vertical="center"/>
    </xf>
    <xf borderId="2" fillId="9" fontId="5" numFmtId="0" xfId="0" applyAlignment="1" applyBorder="1" applyFill="1" applyFont="1">
      <alignment readingOrder="0" vertical="center"/>
    </xf>
    <xf borderId="2" fillId="9" fontId="5" numFmtId="164" xfId="0" applyAlignment="1" applyBorder="1" applyFill="1" applyFont="1" applyNumberFormat="1">
      <alignment readingOrder="0" vertical="center"/>
    </xf>
    <xf borderId="0" fillId="4" fontId="3" numFmtId="0" xfId="0" applyAlignment="1" applyFill="1" applyFont="1">
      <alignment horizontal="center" shrinkToFit="0" vertical="center" wrapText="1"/>
    </xf>
    <xf borderId="2" fillId="9" fontId="5" numFmtId="0" xfId="0" applyAlignment="1" applyBorder="1" applyFill="1" applyFont="1">
      <alignment horizontal="center" readingOrder="0" vertical="center"/>
    </xf>
    <xf borderId="2" fillId="9" fontId="5" numFmtId="0" xfId="0" applyAlignment="1" applyBorder="1" applyFill="1" applyFont="1">
      <alignment horizontal="center" vertical="center"/>
    </xf>
    <xf borderId="2" fillId="9" fontId="5" numFmtId="3" xfId="0" applyAlignment="1" applyBorder="1" applyFill="1" applyFont="1" applyNumberFormat="1">
      <alignment readingOrder="0" vertical="center"/>
    </xf>
    <xf borderId="2" fillId="9" fontId="5" numFmtId="3" xfId="0" applyAlignment="1" applyBorder="1" applyFill="1" applyFont="1" applyNumberFormat="1">
      <alignment vertical="center"/>
    </xf>
    <xf borderId="0" fillId="4" fontId="3" numFmtId="3" xfId="0" applyAlignment="1" applyFill="1" applyFont="1" applyNumberFormat="1">
      <alignment horizontal="center" shrinkToFit="0" vertical="center" wrapText="1"/>
    </xf>
    <xf borderId="0" fillId="7" fontId="1" numFmtId="0" xfId="0" applyFill="1" applyFont="1"/>
    <xf borderId="0" fillId="9" fontId="5" numFmtId="0" xfId="0" applyAlignment="1" applyFill="1" applyFont="1">
      <alignment readingOrder="0" vertical="center"/>
    </xf>
    <xf borderId="0" fillId="10" fontId="5" numFmtId="0" xfId="0" applyAlignment="1" applyFill="1" applyFont="1">
      <alignment readingOrder="0" vertical="center"/>
    </xf>
    <xf borderId="0" fillId="3" fontId="5" numFmtId="0" xfId="0" applyAlignment="1" applyFill="1" applyFont="1">
      <alignment vertical="center"/>
    </xf>
    <xf borderId="0" fillId="10" fontId="5" numFmtId="0" xfId="0" applyAlignment="1" applyFill="1" applyFont="1">
      <alignment vertical="center"/>
    </xf>
    <xf borderId="0" fillId="10" fontId="5" numFmtId="0" xfId="0" applyAlignment="1" applyFill="1" applyFont="1">
      <alignment horizontal="center" readingOrder="0" vertical="center"/>
    </xf>
    <xf borderId="2" fillId="3" fontId="5" numFmtId="0" xfId="0" applyAlignment="1" applyBorder="1" applyFill="1" applyFont="1">
      <alignment vertical="center"/>
    </xf>
    <xf borderId="0" fillId="7" fontId="5" numFmtId="0" xfId="0" applyAlignment="1" applyFill="1" applyFont="1">
      <alignment horizontal="center" readingOrder="0" vertical="center"/>
    </xf>
    <xf borderId="0" fillId="9" fontId="5" numFmtId="0" xfId="0" applyAlignment="1" applyBorder="1" applyFill="1" applyFont="1">
      <alignment vertical="center"/>
    </xf>
    <xf borderId="4" fillId="9" fontId="5" numFmtId="0" xfId="0" applyAlignment="1" applyBorder="1" applyFill="1" applyFont="1">
      <alignment readingOrder="0" vertical="center"/>
    </xf>
    <xf borderId="0" fillId="7" fontId="5" numFmtId="0" xfId="0" applyAlignment="1" applyFill="1" applyFont="1">
      <alignment readingOrder="0" vertical="center"/>
    </xf>
    <xf borderId="0" fillId="7" fontId="1" numFmtId="0" xfId="0" applyAlignment="1" applyFill="1" applyFont="1">
      <alignment readingOrder="0"/>
    </xf>
    <xf borderId="4" fillId="9" fontId="5" numFmtId="164" xfId="0" applyAlignment="1" applyBorder="1" applyFill="1" applyFont="1" applyNumberFormat="1">
      <alignment vertical="center"/>
    </xf>
    <xf borderId="0" fillId="0" fontId="1" numFmtId="0" xfId="0" applyAlignment="1" applyFont="1">
      <alignment readingOrder="0"/>
    </xf>
    <xf borderId="4" fillId="9" fontId="5" numFmtId="0" xfId="0" applyAlignment="1" applyBorder="1" applyFill="1" applyFont="1">
      <alignment vertical="center"/>
    </xf>
    <xf borderId="0" fillId="0" fontId="2" numFmtId="0" xfId="0" applyAlignment="1" applyFont="1">
      <alignment readingOrder="0"/>
    </xf>
    <xf borderId="4" fillId="9" fontId="5" numFmtId="0" xfId="0" applyAlignment="1" applyBorder="1" applyFill="1" applyFont="1">
      <alignment horizontal="center" vertical="center"/>
    </xf>
    <xf borderId="0" fillId="11" fontId="5" numFmtId="0" xfId="0" applyAlignment="1" applyFill="1" applyFont="1">
      <alignment vertical="center"/>
    </xf>
    <xf borderId="4" fillId="9" fontId="5" numFmtId="3" xfId="0" applyAlignment="1" applyBorder="1" applyFill="1" applyFont="1" applyNumberFormat="1">
      <alignment vertical="center"/>
    </xf>
    <xf borderId="0" fillId="0" fontId="5" numFmtId="0" xfId="0" applyAlignment="1" applyFont="1">
      <alignment horizontal="center" readingOrder="0" vertical="center"/>
    </xf>
    <xf borderId="0" fillId="3" fontId="5" numFmtId="0" xfId="0" applyAlignment="1" applyBorder="1" applyFill="1" applyFont="1">
      <alignment vertical="center"/>
    </xf>
    <xf borderId="4" fillId="3" fontId="5" numFmtId="0" xfId="0" applyAlignment="1" applyBorder="1" applyFill="1" applyFont="1">
      <alignment readingOrder="0" vertical="center"/>
    </xf>
    <xf borderId="4" fillId="3" fontId="5" numFmtId="164" xfId="0" applyAlignment="1" applyBorder="1" applyFill="1" applyFont="1" applyNumberFormat="1">
      <alignment vertical="center"/>
    </xf>
    <xf borderId="4" fillId="3" fontId="5" numFmtId="0" xfId="0" applyAlignment="1" applyBorder="1" applyFill="1" applyFont="1">
      <alignment vertical="center"/>
    </xf>
    <xf borderId="4" fillId="3" fontId="5" numFmtId="0" xfId="0" applyAlignment="1" applyBorder="1" applyFill="1" applyFont="1">
      <alignment horizontal="center" vertical="center"/>
    </xf>
    <xf borderId="4" fillId="3" fontId="5" numFmtId="3" xfId="0" applyAlignment="1" applyBorder="1" applyFill="1" applyFont="1" applyNumberFormat="1">
      <alignment vertical="center"/>
    </xf>
    <xf borderId="0" fillId="7" fontId="5" numFmtId="0" xfId="0" applyAlignment="1" applyFill="1" applyFont="1">
      <alignment vertical="center"/>
    </xf>
    <xf borderId="4" fillId="9" fontId="5" numFmtId="0" xfId="0" applyAlignment="1" applyBorder="1" applyFill="1" applyFont="1">
      <alignment readingOrder="0" vertical="center"/>
    </xf>
    <xf borderId="0" fillId="11" fontId="1" numFmtId="0" xfId="0" applyFill="1" applyFont="1"/>
    <xf borderId="0" fillId="11" fontId="2" numFmtId="0" xfId="0" applyFill="1" applyFont="1"/>
    <xf borderId="0" fillId="7" fontId="2" numFmtId="0" xfId="0" applyAlignment="1" applyFill="1" applyFont="1">
      <alignment readingOrder="0"/>
    </xf>
    <xf borderId="0" fillId="0" fontId="2" numFmtId="0" xfId="0" applyAlignment="1" applyFont="1">
      <alignment readingOrder="0"/>
    </xf>
    <xf borderId="5" fillId="4" fontId="10" numFmtId="0" xfId="0" applyAlignment="1" applyBorder="1" applyFill="1" applyFont="1">
      <alignment horizontal="left" readingOrder="0" vertical="center"/>
    </xf>
    <xf borderId="5" fillId="12" fontId="11" numFmtId="0" xfId="0" applyAlignment="1" applyBorder="1" applyFill="1" applyFont="1">
      <alignment horizontal="left" readingOrder="0" vertical="center"/>
    </xf>
    <xf borderId="5" fillId="3" fontId="5" numFmtId="0" xfId="0" applyAlignment="1" applyBorder="1" applyFill="1" applyFont="1">
      <alignment horizontal="left" readingOrder="0" shrinkToFit="0" vertical="center" wrapText="1"/>
    </xf>
    <xf borderId="5" fillId="12" fontId="11" numFmtId="0" xfId="0" applyAlignment="1" applyBorder="1" applyFill="1" applyFont="1">
      <alignment horizontal="left" readingOrder="0" shrinkToFit="0" vertical="center" wrapText="0"/>
    </xf>
    <xf borderId="5" fillId="3" fontId="5" numFmtId="0" xfId="0" applyAlignment="1" applyBorder="1" applyFill="1" applyFont="1">
      <alignment horizontal="left" readingOrder="0" shrinkToFit="0" vertical="center" wrapText="1"/>
    </xf>
    <xf borderId="2" fillId="0" fontId="2" numFmtId="0" xfId="0" applyBorder="1" applyFont="1"/>
    <xf borderId="2" fillId="0" fontId="2" numFmtId="0" xfId="0" applyAlignment="1" applyBorder="1" applyFont="1">
      <alignment horizontal="center"/>
    </xf>
    <xf borderId="2" fillId="0" fontId="2" numFmtId="3" xfId="0" applyBorder="1" applyFont="1" applyNumberFormat="1"/>
    <xf borderId="0" fillId="0" fontId="12" numFmtId="0" xfId="0" applyFont="1"/>
    <xf borderId="0" fillId="0" fontId="2" numFmtId="0" xfId="0" applyAlignment="1" applyFont="1">
      <alignment horizontal="center"/>
    </xf>
    <xf borderId="0" fillId="0" fontId="2" numFmtId="3" xfId="0" applyFont="1" applyNumberFormat="1"/>
  </cellXfs>
  <cellStyles count="1">
    <cellStyle xfId="0" name="Normal" builtinId="0"/>
  </cellStyles>
  <dxfs count="11">
    <dxf>
      <font/>
      <fill>
        <patternFill patternType="none"/>
      </fill>
      <border/>
    </dxf>
    <dxf>
      <font/>
      <fill>
        <patternFill patternType="solid">
          <fgColor rgb="FF1B365D"/>
          <bgColor rgb="FF1B365D"/>
        </patternFill>
      </fill>
      <border/>
    </dxf>
    <dxf>
      <font/>
      <fill>
        <patternFill patternType="solid">
          <fgColor rgb="FFFFFFFF"/>
          <bgColor rgb="FFFFFFFF"/>
        </patternFill>
      </fill>
      <border/>
    </dxf>
    <dxf>
      <font/>
      <fill>
        <patternFill patternType="solid">
          <fgColor rgb="FFEDF4FC"/>
          <bgColor rgb="FFEDF4FC"/>
        </patternFill>
      </fill>
      <border/>
    </dxf>
    <dxf>
      <font>
        <b/>
        <color rgb="FF996600"/>
      </font>
      <fill>
        <patternFill patternType="solid">
          <fgColor rgb="FFFFD8D8"/>
          <bgColor rgb="FFFFD8D8"/>
        </patternFill>
      </fill>
      <border/>
    </dxf>
    <dxf>
      <font>
        <b/>
        <color rgb="FF006619"/>
      </font>
      <fill>
        <patternFill patternType="solid">
          <fgColor rgb="FFD8F2D8"/>
          <bgColor rgb="FFD8F2D8"/>
        </patternFill>
      </fill>
      <border/>
    </dxf>
    <dxf>
      <font/>
      <fill>
        <patternFill patternType="solid">
          <fgColor rgb="FFB7E1CD"/>
          <bgColor rgb="FFB7E1CD"/>
        </patternFill>
      </fill>
      <border/>
    </dxf>
    <dxf>
      <font/>
      <fill>
        <patternFill patternType="solid">
          <fgColor rgb="FFFFFF00"/>
          <bgColor rgb="FFFFFF00"/>
        </patternFill>
      </fill>
      <border/>
    </dxf>
    <dxf>
      <font>
        <color rgb="FF000000"/>
      </font>
      <fill>
        <patternFill patternType="solid">
          <fgColor rgb="FFFF0000"/>
          <bgColor rgb="FFFF0000"/>
        </patternFill>
      </fill>
      <border/>
    </dxf>
    <dxf>
      <font/>
      <fill>
        <patternFill patternType="solid">
          <fgColor rgb="FF93C47D"/>
          <bgColor rgb="FF93C47D"/>
        </patternFill>
      </fill>
      <border/>
    </dxf>
    <dxf>
      <font/>
      <fill>
        <patternFill patternType="solid">
          <fgColor rgb="FFFF0000"/>
          <bgColor rgb="FFFF0000"/>
        </patternFill>
      </fill>
      <border/>
    </dxf>
  </dxfs>
  <tableStyles count="2">
    <tableStyle count="3" pivot="0" name="Famiglie-style">
      <tableStyleElement dxfId="1" type="headerRow"/>
      <tableStyleElement dxfId="2" type="firstRowStripe"/>
      <tableStyleElement dxfId="3" type="secondRowStripe"/>
    </tableStyle>
    <tableStyle count="3" pivot="0" name="Ordine Mens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5.png"/><Relationship Id="rId3" Type="http://schemas.openxmlformats.org/officeDocument/2006/relationships/image" Target="../media/image3.jpg"/><Relationship Id="rId4"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1582400" cy="56959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914400</xdr:colOff>
      <xdr:row>4</xdr:row>
      <xdr:rowOff>47625</xdr:rowOff>
    </xdr:from>
    <xdr:ext cx="1238250" cy="561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xdr:row>
      <xdr:rowOff>171450</xdr:rowOff>
    </xdr:from>
    <xdr:ext cx="1019175" cy="371475"/>
    <xdr:grpSp>
      <xdr:nvGrpSpPr>
        <xdr:cNvPr id="2" name="Shape 2" title="Drawing"/>
        <xdr:cNvGrpSpPr/>
      </xdr:nvGrpSpPr>
      <xdr:grpSpPr>
        <a:xfrm>
          <a:off x="378350" y="122575"/>
          <a:ext cx="1452000" cy="327275"/>
          <a:chOff x="378350" y="122575"/>
          <a:chExt cx="1452000" cy="327275"/>
        </a:xfrm>
      </xdr:grpSpPr>
      <xdr:sp>
        <xdr:nvSpPr>
          <xdr:cNvPr id="3" name="Shape 3"/>
          <xdr:cNvSpPr/>
        </xdr:nvSpPr>
        <xdr:spPr>
          <a:xfrm>
            <a:off x="378350" y="184050"/>
            <a:ext cx="1452000" cy="26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501050" y="122575"/>
            <a:ext cx="1206600" cy="184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Invia Ordine</a:t>
            </a:r>
            <a:endParaRPr sz="1400"/>
          </a:p>
          <a:p>
            <a:pPr indent="0" lvl="0" marL="0" rtl="0" algn="l">
              <a:spcBef>
                <a:spcPts val="0"/>
              </a:spcBef>
              <a:spcAft>
                <a:spcPts val="0"/>
              </a:spcAft>
              <a:buNone/>
            </a:pPr>
            <a:r>
              <a:t/>
            </a:r>
            <a:endParaRPr sz="1400"/>
          </a:p>
        </xdr:txBody>
      </xdr:sp>
    </xdr:grpSp>
    <xdr:clientData fLocksWithSheet="0"/>
  </xdr:oneCellAnchor>
  <xdr:oneCellAnchor>
    <xdr:from>
      <xdr:col>3</xdr:col>
      <xdr:colOff>790575</xdr:colOff>
      <xdr:row>7</xdr:row>
      <xdr:rowOff>190500</xdr:rowOff>
    </xdr:from>
    <xdr:ext cx="847725" cy="200025"/>
    <xdr:grpSp>
      <xdr:nvGrpSpPr>
        <xdr:cNvPr id="2" name="Shape 2" title="Drawing"/>
        <xdr:cNvGrpSpPr/>
      </xdr:nvGrpSpPr>
      <xdr:grpSpPr>
        <a:xfrm>
          <a:off x="937400" y="240825"/>
          <a:ext cx="1313700" cy="328500"/>
          <a:chOff x="937400" y="240825"/>
          <a:chExt cx="1313700" cy="328500"/>
        </a:xfrm>
      </xdr:grpSpPr>
      <xdr:sp>
        <xdr:nvSpPr>
          <xdr:cNvPr id="5" name="Shape 5"/>
          <xdr:cNvSpPr/>
        </xdr:nvSpPr>
        <xdr:spPr>
          <a:xfrm>
            <a:off x="997100" y="240825"/>
            <a:ext cx="9951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937400" y="240825"/>
            <a:ext cx="1313700" cy="328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4</xdr:col>
      <xdr:colOff>142875</xdr:colOff>
      <xdr:row>4</xdr:row>
      <xdr:rowOff>104775</xdr:rowOff>
    </xdr:from>
    <xdr:ext cx="1085850" cy="323850"/>
    <xdr:grpSp>
      <xdr:nvGrpSpPr>
        <xdr:cNvPr id="2" name="Shape 2" title="Drawing"/>
        <xdr:cNvGrpSpPr/>
      </xdr:nvGrpSpPr>
      <xdr:grpSpPr>
        <a:xfrm>
          <a:off x="473800" y="197700"/>
          <a:ext cx="1063500" cy="306900"/>
          <a:chOff x="473800" y="197700"/>
          <a:chExt cx="1063500" cy="306900"/>
        </a:xfrm>
      </xdr:grpSpPr>
      <xdr:sp>
        <xdr:nvSpPr>
          <xdr:cNvPr id="7" name="Shape 7"/>
          <xdr:cNvSpPr/>
        </xdr:nvSpPr>
        <xdr:spPr>
          <a:xfrm>
            <a:off x="473800" y="197700"/>
            <a:ext cx="1063500" cy="30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473800" y="197700"/>
            <a:ext cx="1063500" cy="306900"/>
          </a:xfrm>
          <a:prstGeom prst="rect">
            <a:avLst/>
          </a:prstGeom>
          <a:solidFill>
            <a:srgbClr val="FF0000"/>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Reset</a:t>
            </a:r>
            <a:endParaRPr sz="1400"/>
          </a:p>
        </xdr:txBody>
      </xdr:sp>
    </xdr:grpSp>
    <xdr:clientData fLocksWithSheet="0"/>
  </xdr:oneCellAnchor>
  <xdr:oneCellAnchor>
    <xdr:from>
      <xdr:col>3</xdr:col>
      <xdr:colOff>2057400</xdr:colOff>
      <xdr:row>8</xdr:row>
      <xdr:rowOff>190500</xdr:rowOff>
    </xdr:from>
    <xdr:ext cx="638175" cy="200025"/>
    <xdr:sp>
      <xdr:nvSpPr>
        <xdr:cNvPr id="9" name="Shape 9"/>
        <xdr:cNvSpPr/>
      </xdr:nvSpPr>
      <xdr:spPr>
        <a:xfrm>
          <a:off x="340850" y="167025"/>
          <a:ext cx="1043100" cy="29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Usa buono</a:t>
          </a:r>
          <a:endParaRPr sz="1400"/>
        </a:p>
      </xdr:txBody>
    </xdr:sp>
    <xdr:clientData fLocksWithSheet="0"/>
  </xdr:oneCellAnchor>
  <xdr:oneCellAnchor>
    <xdr:from>
      <xdr:col>3</xdr:col>
      <xdr:colOff>152400</xdr:colOff>
      <xdr:row>9</xdr:row>
      <xdr:rowOff>190500</xdr:rowOff>
    </xdr:from>
    <xdr:ext cx="638175" cy="200025"/>
    <xdr:grpSp>
      <xdr:nvGrpSpPr>
        <xdr:cNvPr id="2" name="Shape 2" title="Drawing"/>
        <xdr:cNvGrpSpPr/>
      </xdr:nvGrpSpPr>
      <xdr:grpSpPr>
        <a:xfrm>
          <a:off x="877700" y="280625"/>
          <a:ext cx="1303425" cy="400200"/>
          <a:chOff x="877700" y="280625"/>
          <a:chExt cx="1303425" cy="400200"/>
        </a:xfrm>
      </xdr:grpSpPr>
      <xdr:sp>
        <xdr:nvSpPr>
          <xdr:cNvPr id="10" name="Shape 10"/>
          <xdr:cNvSpPr/>
        </xdr:nvSpPr>
        <xdr:spPr>
          <a:xfrm>
            <a:off x="877700" y="280625"/>
            <a:ext cx="11940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927425" y="280625"/>
            <a:ext cx="125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6</xdr:col>
      <xdr:colOff>142875</xdr:colOff>
      <xdr:row>4</xdr:row>
      <xdr:rowOff>104775</xdr:rowOff>
    </xdr:from>
    <xdr:ext cx="1019175" cy="323850"/>
    <xdr:grpSp>
      <xdr:nvGrpSpPr>
        <xdr:cNvPr id="2" name="Shape 2" title="Drawing"/>
        <xdr:cNvGrpSpPr/>
      </xdr:nvGrpSpPr>
      <xdr:grpSpPr>
        <a:xfrm>
          <a:off x="957300" y="250775"/>
          <a:ext cx="1293600" cy="557400"/>
          <a:chOff x="957300" y="250775"/>
          <a:chExt cx="1293600" cy="557400"/>
        </a:xfrm>
      </xdr:grpSpPr>
      <xdr:sp>
        <xdr:nvSpPr>
          <xdr:cNvPr id="12" name="Shape 12"/>
          <xdr:cNvSpPr/>
        </xdr:nvSpPr>
        <xdr:spPr>
          <a:xfrm>
            <a:off x="957300" y="250775"/>
            <a:ext cx="1293600" cy="557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3" name="Shape 13"/>
          <xdr:cNvSpPr txBox="1"/>
        </xdr:nvSpPr>
        <xdr:spPr>
          <a:xfrm>
            <a:off x="1017000" y="270675"/>
            <a:ext cx="1174200" cy="497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Stampa (pdf)</a:t>
            </a:r>
            <a:endParaRPr sz="1400"/>
          </a:p>
        </xdr:txBody>
      </xdr:sp>
    </xdr:grpSp>
    <xdr:clientData fLocksWithSheet="0"/>
  </xdr:oneCellAnchor>
  <xdr:oneCellAnchor>
    <xdr:from>
      <xdr:col>8</xdr:col>
      <xdr:colOff>38100</xdr:colOff>
      <xdr:row>4</xdr:row>
      <xdr:rowOff>95250</xdr:rowOff>
    </xdr:from>
    <xdr:ext cx="1019175" cy="257175"/>
    <xdr:grpSp>
      <xdr:nvGrpSpPr>
        <xdr:cNvPr id="2" name="Shape 2" title="Drawing"/>
        <xdr:cNvGrpSpPr/>
      </xdr:nvGrpSpPr>
      <xdr:grpSpPr>
        <a:xfrm>
          <a:off x="705575" y="224975"/>
          <a:ext cx="1605575" cy="480600"/>
          <a:chOff x="705575" y="224975"/>
          <a:chExt cx="1605575" cy="480600"/>
        </a:xfrm>
      </xdr:grpSpPr>
      <xdr:sp>
        <xdr:nvSpPr>
          <xdr:cNvPr id="14" name="Shape 14"/>
          <xdr:cNvSpPr/>
        </xdr:nvSpPr>
        <xdr:spPr>
          <a:xfrm>
            <a:off x="705575" y="224975"/>
            <a:ext cx="1380600" cy="480600"/>
          </a:xfrm>
          <a:prstGeom prst="rect">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5" name="Shape 15"/>
          <xdr:cNvSpPr txBox="1"/>
        </xdr:nvSpPr>
        <xdr:spPr>
          <a:xfrm>
            <a:off x="818050" y="286325"/>
            <a:ext cx="1493100" cy="357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Mese</a:t>
            </a:r>
            <a:endParaRPr sz="1400"/>
          </a:p>
        </xdr:txBody>
      </xdr:sp>
    </xdr:grpSp>
    <xdr:clientData fLocksWithSheet="0"/>
  </xdr:oneCellAnchor>
  <xdr:oneCellAnchor>
    <xdr:from>
      <xdr:col>7</xdr:col>
      <xdr:colOff>514350</xdr:colOff>
      <xdr:row>4</xdr:row>
      <xdr:rowOff>95250</xdr:rowOff>
    </xdr:from>
    <xdr:ext cx="942975" cy="200025"/>
    <xdr:grpSp>
      <xdr:nvGrpSpPr>
        <xdr:cNvPr id="2" name="Shape 2" title="Drawing"/>
        <xdr:cNvGrpSpPr/>
      </xdr:nvGrpSpPr>
      <xdr:grpSpPr>
        <a:xfrm>
          <a:off x="398800" y="163600"/>
          <a:ext cx="1891800" cy="378300"/>
          <a:chOff x="398800" y="163600"/>
          <a:chExt cx="1891800" cy="378300"/>
        </a:xfrm>
      </xdr:grpSpPr>
      <xdr:sp>
        <xdr:nvSpPr>
          <xdr:cNvPr id="16" name="Shape 16"/>
          <xdr:cNvSpPr/>
        </xdr:nvSpPr>
        <xdr:spPr>
          <a:xfrm>
            <a:off x="398800" y="163600"/>
            <a:ext cx="1891800" cy="378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7" name="Shape 17"/>
          <xdr:cNvSpPr txBox="1"/>
        </xdr:nvSpPr>
        <xdr:spPr>
          <a:xfrm>
            <a:off x="552175" y="209650"/>
            <a:ext cx="1677000" cy="286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invia mese</a:t>
            </a:r>
            <a:endParaRPr sz="1400"/>
          </a:p>
        </xdr:txBody>
      </xdr:sp>
    </xdr:grpSp>
    <xdr:clientData fLocksWithSheet="0"/>
  </xdr:oneCellAnchor>
  <xdr:oneCellAnchor>
    <xdr:from>
      <xdr:col>0</xdr:col>
      <xdr:colOff>0</xdr:colOff>
      <xdr:row>1</xdr:row>
      <xdr:rowOff>47625</xdr:rowOff>
    </xdr:from>
    <xdr:ext cx="1419225" cy="781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1</xdr:row>
      <xdr:rowOff>38100</xdr:rowOff>
    </xdr:from>
    <xdr:ext cx="466725" cy="3714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419100</xdr:colOff>
      <xdr:row>1</xdr:row>
      <xdr:rowOff>85725</xdr:rowOff>
    </xdr:from>
    <xdr:ext cx="409575" cy="2857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342900</xdr:colOff>
      <xdr:row>2</xdr:row>
      <xdr:rowOff>76200</xdr:rowOff>
    </xdr:from>
    <xdr:ext cx="666750" cy="371475"/>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476250</xdr:colOff>
      <xdr:row>3</xdr:row>
      <xdr:rowOff>38100</xdr:rowOff>
    </xdr:from>
    <xdr:ext cx="409575" cy="419100"/>
    <xdr:pic>
      <xdr:nvPicPr>
        <xdr:cNvPr id="0" name="image6.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H25"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Ordine Mens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G20" displayName="Table_1" name="Table_1" id="1">
  <tableColumns count="7">
    <tableColumn name="ID" id="1"/>
    <tableColumn name="Biglietti acquistati " id="2"/>
    <tableColumn name="Totale biglietti utilizzati " id="3"/>
    <tableColumn name="Totale biglietti rimanenti " id="4"/>
    <tableColumn name="Status biglietti " id="5"/>
    <tableColumn name="Email Notifica" id="6"/>
    <tableColumn name="Status Avviso" id="7"/>
  </tableColumns>
  <tableStyleInfo name="Famigli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c r="B1" s="1"/>
      <c r="C1" s="2"/>
      <c r="D1" s="2"/>
      <c r="E1" s="2"/>
      <c r="F1" s="2"/>
      <c r="G1" s="2"/>
      <c r="H1" s="2"/>
      <c r="I1" s="2"/>
      <c r="J1" s="2"/>
      <c r="K1" s="2"/>
      <c r="L1" s="3"/>
      <c r="M1" s="4"/>
      <c r="N1" s="4"/>
      <c r="O1" s="4"/>
      <c r="P1" s="4"/>
      <c r="Q1" s="4"/>
      <c r="R1" s="4"/>
      <c r="S1" s="4"/>
      <c r="T1" s="4"/>
      <c r="U1" s="4"/>
      <c r="V1" s="4"/>
      <c r="W1" s="4"/>
      <c r="X1" s="4"/>
      <c r="Y1" s="4"/>
      <c r="Z1" s="4"/>
    </row>
    <row r="2">
      <c r="A2" s="6" t="s">
        <v>3</v>
      </c>
      <c r="B2" s="7"/>
      <c r="C2" s="7"/>
      <c r="D2" s="7"/>
      <c r="E2" s="7"/>
      <c r="F2" s="7"/>
      <c r="G2" s="7"/>
      <c r="H2" s="7"/>
      <c r="I2" s="7"/>
      <c r="J2" s="7"/>
      <c r="K2" s="7"/>
      <c r="L2" s="9"/>
      <c r="M2" s="4"/>
      <c r="N2" s="4"/>
      <c r="O2" s="4"/>
      <c r="P2" s="4"/>
      <c r="Q2" s="4"/>
      <c r="R2" s="4"/>
      <c r="S2" s="4"/>
      <c r="T2" s="4"/>
      <c r="U2" s="4"/>
      <c r="V2" s="4"/>
      <c r="W2" s="4"/>
      <c r="X2" s="4"/>
      <c r="Y2" s="4"/>
      <c r="Z2" s="4"/>
    </row>
    <row r="3">
      <c r="A3" s="6" t="s">
        <v>13</v>
      </c>
      <c r="B3" s="7"/>
      <c r="C3" s="7"/>
      <c r="D3" s="7"/>
      <c r="E3" s="7"/>
      <c r="F3" s="7"/>
      <c r="G3" s="7"/>
      <c r="H3" s="7"/>
      <c r="I3" s="7"/>
      <c r="J3" s="7"/>
      <c r="K3" s="7"/>
      <c r="L3" s="3"/>
      <c r="M3" s="4"/>
      <c r="N3" s="4"/>
      <c r="O3" s="4"/>
      <c r="P3" s="4"/>
      <c r="Q3" s="4"/>
      <c r="R3" s="4"/>
      <c r="S3" s="4"/>
      <c r="T3" s="4"/>
      <c r="U3" s="4"/>
      <c r="V3" s="4"/>
      <c r="W3" s="4"/>
      <c r="X3" s="4"/>
      <c r="Y3" s="4"/>
      <c r="Z3" s="4"/>
    </row>
    <row r="4">
      <c r="A4" s="7"/>
      <c r="B4" s="7"/>
      <c r="C4" s="7"/>
      <c r="D4" s="7"/>
      <c r="E4" s="7"/>
      <c r="F4" s="7"/>
      <c r="G4" s="7"/>
      <c r="H4" s="7"/>
      <c r="I4" s="7"/>
      <c r="J4" s="7"/>
      <c r="K4" s="7"/>
      <c r="L4" s="3"/>
      <c r="M4" s="4"/>
      <c r="N4" s="4"/>
      <c r="O4" s="4"/>
      <c r="P4" s="4"/>
      <c r="Q4" s="4"/>
      <c r="R4" s="4"/>
      <c r="S4" s="4"/>
      <c r="T4" s="4"/>
      <c r="U4" s="4"/>
      <c r="V4" s="4"/>
      <c r="W4" s="4"/>
      <c r="X4" s="4"/>
      <c r="Y4" s="4"/>
      <c r="Z4" s="4"/>
    </row>
    <row r="5">
      <c r="A5" s="2"/>
      <c r="B5" s="2"/>
      <c r="C5" s="2"/>
      <c r="D5" s="2"/>
      <c r="E5" s="2"/>
      <c r="F5" s="2"/>
      <c r="G5" s="2"/>
      <c r="H5" s="2"/>
      <c r="I5" s="2"/>
      <c r="J5" s="2"/>
      <c r="K5" s="2"/>
      <c r="L5" s="3"/>
      <c r="M5" s="4"/>
      <c r="N5" s="4"/>
      <c r="O5" s="4"/>
      <c r="P5" s="4"/>
      <c r="Q5" s="4"/>
      <c r="R5" s="4"/>
      <c r="S5" s="4"/>
      <c r="T5" s="4"/>
      <c r="U5" s="4"/>
      <c r="V5" s="4"/>
      <c r="W5" s="4"/>
      <c r="X5" s="4"/>
      <c r="Y5" s="4"/>
      <c r="Z5" s="4"/>
    </row>
    <row r="6">
      <c r="A6" s="13"/>
      <c r="B6" s="13"/>
      <c r="C6" s="13"/>
      <c r="D6" s="13"/>
      <c r="E6" s="13"/>
      <c r="F6" s="13"/>
      <c r="G6" s="13"/>
      <c r="H6" s="13"/>
      <c r="I6" s="13"/>
      <c r="J6" s="13"/>
      <c r="K6" s="13"/>
      <c r="L6" s="13"/>
    </row>
    <row r="7">
      <c r="A7" s="13"/>
      <c r="B7" s="13"/>
      <c r="C7" s="13"/>
      <c r="D7" s="13"/>
      <c r="E7" s="13"/>
      <c r="F7" s="13"/>
      <c r="G7" s="13"/>
      <c r="H7" s="13"/>
      <c r="I7" s="13"/>
      <c r="J7" s="13"/>
      <c r="K7" s="13"/>
      <c r="L7" s="13"/>
    </row>
    <row r="8">
      <c r="A8" s="13"/>
      <c r="B8" s="13"/>
      <c r="C8" s="13"/>
      <c r="D8" s="13"/>
      <c r="E8" s="13"/>
      <c r="F8" s="13"/>
      <c r="G8" s="13"/>
      <c r="H8" s="13"/>
      <c r="I8" s="13"/>
      <c r="J8" s="13"/>
      <c r="K8" s="13"/>
      <c r="L8" s="13"/>
    </row>
    <row r="9">
      <c r="A9" s="13"/>
      <c r="B9" s="13"/>
      <c r="C9" s="13"/>
      <c r="D9" s="13"/>
      <c r="E9" s="13"/>
      <c r="F9" s="13"/>
      <c r="G9" s="13"/>
      <c r="H9" s="13"/>
      <c r="I9" s="13"/>
      <c r="J9" s="13"/>
      <c r="K9" s="13"/>
      <c r="L9" s="13"/>
    </row>
    <row r="10">
      <c r="A10" s="13"/>
      <c r="B10" s="13"/>
      <c r="C10" s="13"/>
      <c r="D10" s="13"/>
      <c r="E10" s="13"/>
      <c r="F10" s="13"/>
      <c r="G10" s="13"/>
      <c r="H10" s="13"/>
      <c r="I10" s="13"/>
      <c r="J10" s="13"/>
      <c r="K10" s="13"/>
      <c r="L1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75"/>
  <cols>
    <col customWidth="1" min="1" max="1" width="16.88"/>
    <col customWidth="1" min="2" max="2" width="12.38"/>
    <col customWidth="1" min="4" max="4" width="36.13"/>
    <col customWidth="1" min="5" max="5" width="20.25"/>
    <col customWidth="1" min="6" max="6" width="27.25"/>
    <col customWidth="1" min="7" max="7" width="17.5"/>
    <col customWidth="1" min="8" max="8" width="25.25"/>
  </cols>
  <sheetData>
    <row r="1">
      <c r="A1" s="16" t="s">
        <v>19</v>
      </c>
      <c r="B1" s="16"/>
      <c r="C1" s="19" t="s">
        <v>20</v>
      </c>
      <c r="D1" s="20"/>
      <c r="E1" s="20"/>
      <c r="F1" s="20"/>
      <c r="G1" s="20"/>
      <c r="H1" s="24" t="s">
        <v>21</v>
      </c>
      <c r="I1" s="24" t="s">
        <v>22</v>
      </c>
      <c r="J1" s="20"/>
      <c r="K1" s="26" t="s">
        <v>23</v>
      </c>
      <c r="L1" s="20"/>
      <c r="M1" s="20"/>
      <c r="N1" s="20"/>
      <c r="O1" s="20"/>
      <c r="P1" s="27"/>
      <c r="Q1" s="28"/>
      <c r="R1" s="28"/>
    </row>
    <row r="2">
      <c r="A2" s="20"/>
      <c r="B2" s="20"/>
      <c r="C2" s="20"/>
      <c r="D2" s="20"/>
      <c r="E2" s="20"/>
      <c r="F2" s="20"/>
      <c r="G2" s="20"/>
      <c r="H2" s="29" t="s">
        <v>24</v>
      </c>
      <c r="I2" s="29">
        <v>2024.0</v>
      </c>
      <c r="J2" s="20"/>
      <c r="K2" s="26" t="s">
        <v>26</v>
      </c>
      <c r="L2" s="32"/>
      <c r="M2" s="20"/>
      <c r="N2" s="20"/>
      <c r="O2" s="20"/>
      <c r="P2" s="27"/>
      <c r="Q2" s="28"/>
      <c r="R2" s="28"/>
    </row>
    <row r="3">
      <c r="A3" s="20"/>
      <c r="B3" s="20"/>
      <c r="C3" s="20"/>
      <c r="D3" s="20"/>
      <c r="E3" s="33">
        <f>TODAY()</f>
        <v>46275</v>
      </c>
      <c r="F3" s="24" t="s">
        <v>28</v>
      </c>
      <c r="G3" s="20"/>
      <c r="H3" s="24" t="s">
        <v>29</v>
      </c>
      <c r="I3" s="32" t="s">
        <v>31</v>
      </c>
      <c r="J3" s="20"/>
      <c r="K3" s="20"/>
      <c r="L3" s="20"/>
      <c r="M3" s="20"/>
      <c r="N3" s="20"/>
      <c r="O3" s="20"/>
      <c r="P3" s="27"/>
      <c r="Q3" s="28"/>
      <c r="R3" s="28"/>
    </row>
    <row r="4">
      <c r="A4" s="37" t="str">
        <f>Alunni!A1</f>
        <v>YEP!</v>
      </c>
      <c r="B4" s="20"/>
      <c r="C4" s="20"/>
      <c r="D4" s="38" t="s">
        <v>35</v>
      </c>
      <c r="E4" s="29"/>
      <c r="F4" s="40" t="s">
        <v>30</v>
      </c>
      <c r="G4" s="20"/>
      <c r="H4" s="24">
        <v>1.0</v>
      </c>
      <c r="I4" s="26">
        <v>0.0</v>
      </c>
      <c r="J4" s="20"/>
      <c r="K4" s="20"/>
      <c r="L4" s="20"/>
      <c r="M4" s="20"/>
      <c r="N4" s="20"/>
      <c r="O4" s="20"/>
      <c r="P4" s="27"/>
      <c r="Q4" s="28"/>
      <c r="R4" s="28"/>
    </row>
    <row r="5">
      <c r="A5" s="20"/>
      <c r="B5" s="20"/>
      <c r="C5" s="20"/>
      <c r="D5" s="20"/>
      <c r="E5" s="20"/>
      <c r="F5" s="32" t="s">
        <v>36</v>
      </c>
      <c r="G5" s="20"/>
      <c r="H5" s="20"/>
      <c r="I5" s="20"/>
      <c r="J5" s="20"/>
      <c r="K5" s="20"/>
      <c r="L5" s="20"/>
      <c r="M5" s="20"/>
      <c r="N5" s="20"/>
      <c r="O5" s="20"/>
      <c r="P5" s="27"/>
      <c r="Q5" s="28"/>
      <c r="R5" s="28"/>
    </row>
    <row r="6">
      <c r="A6" s="20"/>
      <c r="B6" s="20"/>
      <c r="C6" s="20"/>
      <c r="D6" s="20"/>
      <c r="E6" s="20"/>
      <c r="F6" s="32" t="s">
        <v>37</v>
      </c>
      <c r="G6" s="20"/>
      <c r="H6" s="20"/>
      <c r="I6" s="20"/>
      <c r="J6" s="20"/>
      <c r="K6" s="20"/>
      <c r="L6" s="20"/>
      <c r="M6" s="20"/>
      <c r="N6" s="20"/>
      <c r="O6" s="20"/>
      <c r="P6" s="27"/>
      <c r="Q6" s="28"/>
      <c r="R6" s="28"/>
    </row>
    <row r="7">
      <c r="A7" s="20"/>
      <c r="B7" s="20"/>
      <c r="C7" s="20"/>
      <c r="D7" s="20"/>
      <c r="E7" s="20"/>
      <c r="F7" s="20"/>
      <c r="G7" s="20"/>
      <c r="H7" s="20"/>
      <c r="I7" s="20"/>
      <c r="J7" s="20"/>
      <c r="K7" s="20"/>
      <c r="L7" s="20"/>
      <c r="M7" s="20"/>
      <c r="N7" s="20"/>
      <c r="O7" s="20"/>
      <c r="P7" s="27"/>
      <c r="Q7" s="28"/>
      <c r="R7" s="28"/>
    </row>
    <row r="8">
      <c r="A8" s="45"/>
      <c r="B8" s="45" t="str">
        <f>Alunni!B1</f>
        <v>Nome</v>
      </c>
      <c r="C8" s="45" t="str">
        <f>Alunni!C1</f>
        <v>Cognome</v>
      </c>
      <c r="D8" s="45" t="str">
        <f>Alunni!G1</f>
        <v>Utilizza Biglietto mensa cliccando sul pulsante</v>
      </c>
      <c r="E8" s="50" t="str">
        <f>Alunni!H1</f>
        <v>Totale biglietti utilizzati </v>
      </c>
      <c r="F8" s="5" t="s">
        <v>40</v>
      </c>
      <c r="G8" s="5" t="s">
        <v>14</v>
      </c>
      <c r="H8" s="45"/>
      <c r="I8" s="51"/>
      <c r="J8" s="13"/>
      <c r="K8" s="13"/>
      <c r="L8" s="13"/>
      <c r="M8" s="13"/>
      <c r="N8" s="13"/>
      <c r="O8" s="13"/>
    </row>
    <row r="9">
      <c r="A9" s="53" t="s">
        <v>42</v>
      </c>
      <c r="B9" s="55" t="str">
        <f>Alunni!B2</f>
        <v>Mario</v>
      </c>
      <c r="C9" s="55" t="str">
        <f>Alunni!C2</f>
        <v>Rossi</v>
      </c>
      <c r="D9" s="55"/>
      <c r="E9" s="56">
        <v>2.0</v>
      </c>
      <c r="F9" s="58" t="str">
        <f>Alunni!J2</f>
        <v>Inviare Avviso</v>
      </c>
      <c r="G9" s="61" t="str">
        <f>if(Alunni!I2=0, "Esauriti", "-")</f>
        <v>-</v>
      </c>
      <c r="H9" s="61"/>
      <c r="I9" s="62"/>
      <c r="J9" s="64"/>
      <c r="K9" s="64"/>
      <c r="L9" s="64"/>
      <c r="M9" s="64"/>
      <c r="N9" s="64"/>
      <c r="O9" s="64"/>
      <c r="P9" s="66"/>
      <c r="Q9" s="66"/>
      <c r="R9" s="66"/>
      <c r="S9" s="66"/>
      <c r="T9" s="66"/>
      <c r="U9" s="66"/>
      <c r="V9" s="66"/>
      <c r="W9" s="66"/>
      <c r="X9" s="66"/>
      <c r="Y9" s="66"/>
      <c r="Z9" s="66"/>
    </row>
    <row r="10">
      <c r="A10" s="68"/>
      <c r="B10" s="34" t="str">
        <f>Alunni!B3</f>
        <v>Bianca</v>
      </c>
      <c r="C10" s="34" t="str">
        <f>Alunni!C3</f>
        <v>Bianchi</v>
      </c>
      <c r="D10" s="34"/>
      <c r="E10" s="70">
        <v>0.0</v>
      </c>
      <c r="F10" s="58" t="str">
        <f>Alunni!J3</f>
        <v>Sufficienti</v>
      </c>
      <c r="G10" s="61" t="str">
        <f>if(Alunni!I3=0, "Esauriti", "-")</f>
        <v>-</v>
      </c>
      <c r="H10" s="61"/>
      <c r="I10" s="62"/>
      <c r="J10" s="64"/>
      <c r="K10" s="64"/>
      <c r="L10" s="64"/>
      <c r="M10" s="64"/>
      <c r="N10" s="64"/>
      <c r="O10" s="64"/>
      <c r="P10" s="66"/>
      <c r="Q10" s="66"/>
      <c r="R10" s="66"/>
      <c r="S10" s="66"/>
      <c r="T10" s="66"/>
      <c r="U10" s="66"/>
      <c r="V10" s="66"/>
      <c r="W10" s="66"/>
      <c r="X10" s="66"/>
      <c r="Y10" s="66"/>
      <c r="Z10" s="66"/>
    </row>
    <row r="11">
      <c r="A11" s="68"/>
      <c r="B11" s="34" t="str">
        <f>Alunni!B4</f>
        <v>Ciccio</v>
      </c>
      <c r="C11" s="35" t="s">
        <v>45</v>
      </c>
      <c r="D11" s="34"/>
      <c r="E11" s="70">
        <v>0.0</v>
      </c>
      <c r="F11" s="58" t="str">
        <f>Alunni!J4</f>
        <v>Sufficienti</v>
      </c>
      <c r="G11" s="61" t="str">
        <f>if(Alunni!I4=0, "Esauriti", "-")</f>
        <v>-</v>
      </c>
      <c r="H11" s="61"/>
      <c r="I11" s="62"/>
      <c r="J11" s="64"/>
      <c r="K11" s="64"/>
      <c r="L11" s="64"/>
      <c r="M11" s="64"/>
      <c r="N11" s="64"/>
      <c r="O11" s="64"/>
      <c r="P11" s="66"/>
      <c r="Q11" s="66"/>
      <c r="R11" s="66"/>
      <c r="S11" s="66"/>
      <c r="T11" s="66"/>
      <c r="U11" s="66"/>
      <c r="V11" s="66"/>
      <c r="W11" s="66"/>
      <c r="X11" s="66"/>
      <c r="Y11" s="66"/>
      <c r="Z11" s="66"/>
    </row>
    <row r="12">
      <c r="A12" s="68"/>
      <c r="B12" s="34"/>
      <c r="C12" s="34"/>
      <c r="D12" s="34"/>
      <c r="E12" s="35"/>
      <c r="F12" s="77"/>
      <c r="G12" s="77"/>
      <c r="H12" s="77"/>
      <c r="I12" s="51"/>
      <c r="J12" s="13"/>
      <c r="K12" s="13"/>
      <c r="L12" s="13"/>
      <c r="M12" s="13"/>
      <c r="N12" s="13"/>
      <c r="O12" s="13"/>
    </row>
    <row r="13">
      <c r="A13" s="68"/>
      <c r="B13" s="34"/>
      <c r="C13" s="34"/>
      <c r="D13" s="34"/>
      <c r="E13" s="34"/>
      <c r="F13" s="77"/>
      <c r="G13" s="77"/>
      <c r="H13" s="77"/>
      <c r="I13" s="51"/>
      <c r="J13" s="13"/>
      <c r="K13" s="13"/>
      <c r="L13" s="13"/>
      <c r="M13" s="13"/>
      <c r="N13" s="13"/>
      <c r="O13" s="13"/>
    </row>
    <row r="14">
      <c r="A14" s="68"/>
      <c r="B14" s="34"/>
      <c r="C14" s="34"/>
      <c r="D14" s="34"/>
      <c r="E14" s="34"/>
      <c r="F14" s="77"/>
      <c r="G14" s="77"/>
      <c r="H14" s="77"/>
      <c r="I14" s="51"/>
      <c r="J14" s="13"/>
      <c r="K14" s="13"/>
      <c r="L14" s="13"/>
      <c r="M14" s="13"/>
      <c r="N14" s="13"/>
      <c r="O14" s="13"/>
    </row>
    <row r="15">
      <c r="A15" s="68"/>
      <c r="B15" s="34"/>
      <c r="C15" s="34"/>
      <c r="D15" s="34"/>
      <c r="E15" s="34"/>
      <c r="F15" s="77"/>
      <c r="G15" s="77"/>
      <c r="H15" s="77"/>
      <c r="I15" s="51"/>
      <c r="J15" s="13"/>
      <c r="K15" s="13"/>
      <c r="L15" s="13"/>
      <c r="M15" s="13"/>
      <c r="N15" s="13"/>
      <c r="O15" s="13"/>
    </row>
    <row r="16">
      <c r="A16" s="68"/>
      <c r="B16" s="34"/>
      <c r="C16" s="34"/>
      <c r="D16" s="34"/>
      <c r="E16" s="34"/>
      <c r="F16" s="77"/>
      <c r="G16" s="77"/>
      <c r="H16" s="77"/>
      <c r="I16" s="51"/>
      <c r="J16" s="13"/>
      <c r="K16" s="13"/>
      <c r="L16" s="13"/>
      <c r="M16" s="13"/>
      <c r="N16" s="13"/>
      <c r="O16" s="13"/>
    </row>
    <row r="17">
      <c r="A17" s="68"/>
      <c r="B17" s="34"/>
      <c r="C17" s="34"/>
      <c r="D17" s="34"/>
      <c r="E17" s="34"/>
      <c r="F17" s="77"/>
      <c r="G17" s="77"/>
      <c r="H17" s="77"/>
      <c r="I17" s="51"/>
      <c r="J17" s="13"/>
      <c r="K17" s="13"/>
      <c r="L17" s="13"/>
      <c r="M17" s="13"/>
      <c r="N17" s="13"/>
      <c r="O17" s="13"/>
    </row>
    <row r="18">
      <c r="A18" s="68"/>
      <c r="B18" s="34"/>
      <c r="C18" s="34"/>
      <c r="D18" s="34"/>
      <c r="E18" s="34"/>
      <c r="F18" s="77"/>
      <c r="G18" s="77"/>
      <c r="H18" s="77"/>
      <c r="I18" s="51"/>
      <c r="J18" s="13"/>
      <c r="K18" s="13"/>
      <c r="L18" s="13"/>
      <c r="M18" s="13"/>
      <c r="N18" s="13"/>
      <c r="O18" s="13"/>
    </row>
    <row r="19">
      <c r="A19" s="68"/>
      <c r="B19" s="34"/>
      <c r="C19" s="34"/>
      <c r="D19" s="34"/>
      <c r="E19" s="34"/>
      <c r="F19" s="77"/>
      <c r="G19" s="77"/>
      <c r="H19" s="77"/>
      <c r="I19" s="51"/>
      <c r="J19" s="13"/>
      <c r="K19" s="13"/>
      <c r="L19" s="13"/>
      <c r="M19" s="13"/>
      <c r="N19" s="13"/>
      <c r="O19" s="13"/>
    </row>
    <row r="20">
      <c r="A20" s="68"/>
      <c r="B20" s="34"/>
      <c r="C20" s="34"/>
      <c r="D20" s="34"/>
      <c r="E20" s="34"/>
      <c r="F20" s="77"/>
      <c r="G20" s="77"/>
      <c r="H20" s="77"/>
      <c r="I20" s="51"/>
      <c r="J20" s="13"/>
      <c r="K20" s="13"/>
      <c r="L20" s="13"/>
      <c r="M20" s="13"/>
      <c r="N20" s="13"/>
      <c r="O20" s="13"/>
    </row>
    <row r="21">
      <c r="A21" s="68"/>
      <c r="B21" s="34"/>
      <c r="C21" s="34"/>
      <c r="D21" s="34"/>
      <c r="E21" s="34"/>
      <c r="F21" s="77"/>
      <c r="G21" s="77"/>
      <c r="H21" s="77"/>
      <c r="I21" s="51"/>
      <c r="J21" s="13"/>
      <c r="K21" s="13"/>
      <c r="L21" s="13"/>
      <c r="M21" s="13"/>
      <c r="N21" s="13"/>
      <c r="O21" s="13"/>
    </row>
    <row r="22">
      <c r="A22" s="68"/>
      <c r="B22" s="34"/>
      <c r="C22" s="34"/>
      <c r="D22" s="34"/>
      <c r="E22" s="34"/>
      <c r="F22" s="77"/>
      <c r="G22" s="77"/>
      <c r="H22" s="77"/>
      <c r="I22" s="51"/>
      <c r="J22" s="13"/>
      <c r="K22" s="13"/>
      <c r="L22" s="13"/>
      <c r="M22" s="13"/>
      <c r="N22" s="13"/>
      <c r="O22" s="13"/>
    </row>
    <row r="23">
      <c r="A23" s="68"/>
      <c r="B23" s="34"/>
      <c r="C23" s="34"/>
      <c r="D23" s="34"/>
      <c r="E23" s="34"/>
      <c r="F23" s="77"/>
      <c r="G23" s="77"/>
      <c r="H23" s="77"/>
      <c r="I23" s="51"/>
      <c r="J23" s="13"/>
      <c r="K23" s="13"/>
      <c r="L23" s="13"/>
      <c r="M23" s="13"/>
      <c r="N23" s="13"/>
      <c r="O23" s="13"/>
    </row>
    <row r="24">
      <c r="A24" s="68"/>
      <c r="B24" s="34"/>
      <c r="C24" s="34"/>
      <c r="D24" s="34"/>
      <c r="E24" s="34"/>
      <c r="F24" s="77"/>
      <c r="G24" s="77"/>
      <c r="H24" s="77"/>
      <c r="I24" s="51"/>
      <c r="J24" s="13"/>
      <c r="K24" s="13"/>
      <c r="L24" s="13"/>
      <c r="M24" s="13"/>
      <c r="N24" s="13"/>
      <c r="O24" s="13"/>
    </row>
    <row r="25">
      <c r="A25" s="68"/>
      <c r="B25" s="34"/>
      <c r="C25" s="34"/>
      <c r="D25" s="34"/>
      <c r="E25" s="34"/>
      <c r="F25" s="77"/>
      <c r="G25" s="77"/>
      <c r="H25" s="77"/>
      <c r="I25" s="51"/>
      <c r="J25" s="13"/>
      <c r="K25" s="13"/>
      <c r="L25" s="13"/>
      <c r="M25" s="13"/>
      <c r="N25" s="13"/>
      <c r="O25" s="13"/>
    </row>
    <row r="26">
      <c r="A26" s="79"/>
      <c r="B26" s="13"/>
      <c r="C26" s="13"/>
      <c r="D26" s="13"/>
      <c r="E26" s="13"/>
      <c r="F26" s="51"/>
      <c r="G26" s="51"/>
      <c r="H26" s="51"/>
      <c r="I26" s="51"/>
      <c r="J26" s="13"/>
      <c r="K26" s="13"/>
      <c r="L26" s="13"/>
      <c r="M26" s="13"/>
      <c r="N26" s="13"/>
      <c r="O26" s="13"/>
    </row>
    <row r="27">
      <c r="A27" s="79"/>
      <c r="B27" s="13"/>
      <c r="C27" s="13"/>
      <c r="D27" s="13"/>
      <c r="E27" s="13"/>
      <c r="F27" s="51"/>
      <c r="G27" s="51"/>
      <c r="H27" s="51"/>
      <c r="I27" s="51"/>
      <c r="J27" s="13"/>
      <c r="K27" s="13"/>
      <c r="L27" s="13"/>
      <c r="M27" s="13"/>
      <c r="N27" s="13"/>
      <c r="O27" s="13"/>
    </row>
    <row r="28">
      <c r="A28" s="79"/>
      <c r="B28" s="13"/>
      <c r="C28" s="13"/>
      <c r="D28" s="13"/>
      <c r="E28" s="13"/>
      <c r="F28" s="51"/>
      <c r="G28" s="51"/>
      <c r="H28" s="51"/>
      <c r="I28" s="51"/>
      <c r="J28" s="13"/>
      <c r="K28" s="13"/>
      <c r="L28" s="13"/>
      <c r="M28" s="13"/>
      <c r="N28" s="13"/>
      <c r="O28" s="13"/>
    </row>
    <row r="29">
      <c r="A29" s="79"/>
      <c r="B29" s="13"/>
      <c r="C29" s="13"/>
      <c r="D29" s="13"/>
      <c r="E29" s="13"/>
      <c r="F29" s="51"/>
      <c r="G29" s="51"/>
      <c r="H29" s="51"/>
      <c r="I29" s="51"/>
      <c r="J29" s="13"/>
      <c r="K29" s="13"/>
      <c r="L29" s="13"/>
      <c r="M29" s="13"/>
      <c r="N29" s="13"/>
      <c r="O29" s="13"/>
    </row>
    <row r="30">
      <c r="A30" s="79"/>
      <c r="B30" s="13"/>
      <c r="C30" s="13"/>
      <c r="D30" s="13"/>
      <c r="E30" s="13"/>
      <c r="F30" s="51"/>
      <c r="G30" s="51"/>
      <c r="H30" s="51"/>
      <c r="I30" s="51"/>
      <c r="J30" s="13"/>
      <c r="K30" s="13"/>
      <c r="L30" s="13"/>
      <c r="M30" s="13"/>
      <c r="N30" s="13"/>
      <c r="O30" s="13"/>
    </row>
    <row r="31">
      <c r="A31" s="80"/>
      <c r="F31" s="28"/>
      <c r="G31" s="81"/>
      <c r="H31" s="28"/>
      <c r="I31" s="28"/>
    </row>
    <row r="32">
      <c r="A32" s="80"/>
      <c r="F32" s="28"/>
      <c r="G32" s="28"/>
      <c r="H32" s="28"/>
      <c r="I32" s="28"/>
    </row>
    <row r="33">
      <c r="A33" s="80"/>
      <c r="F33" s="28"/>
      <c r="G33" s="28"/>
      <c r="H33" s="28"/>
      <c r="I33" s="28"/>
    </row>
    <row r="34">
      <c r="A34" s="80"/>
      <c r="F34" s="28"/>
      <c r="G34" s="28"/>
      <c r="H34" s="28"/>
      <c r="I34" s="28"/>
    </row>
    <row r="35">
      <c r="A35" s="80"/>
      <c r="F35" s="28"/>
      <c r="G35" s="28"/>
      <c r="H35" s="28"/>
      <c r="I35" s="28"/>
    </row>
    <row r="36">
      <c r="A36" s="80"/>
      <c r="F36" s="28"/>
      <c r="G36" s="28"/>
      <c r="H36" s="28"/>
      <c r="I36" s="28"/>
    </row>
    <row r="37">
      <c r="A37" s="80"/>
      <c r="F37" s="28"/>
      <c r="G37" s="28"/>
      <c r="H37" s="28"/>
      <c r="I37" s="28"/>
    </row>
    <row r="38">
      <c r="A38" s="80"/>
      <c r="F38" s="28"/>
      <c r="G38" s="28"/>
      <c r="H38" s="28"/>
      <c r="I38" s="28"/>
    </row>
    <row r="39">
      <c r="A39" s="80"/>
      <c r="D39" s="82" t="s">
        <v>46</v>
      </c>
      <c r="E39" s="82">
        <v>1.0</v>
      </c>
      <c r="F39" s="28"/>
      <c r="G39" s="28"/>
      <c r="H39" s="28"/>
      <c r="I39" s="28"/>
    </row>
    <row r="40">
      <c r="A40" s="80"/>
      <c r="F40" s="28"/>
      <c r="G40" s="28"/>
      <c r="H40" s="28"/>
      <c r="I40" s="28"/>
    </row>
    <row r="41">
      <c r="A41" s="80"/>
      <c r="F41" s="28"/>
      <c r="G41" s="28"/>
      <c r="H41" s="28"/>
      <c r="I41" s="28"/>
    </row>
    <row r="42">
      <c r="A42" s="80"/>
      <c r="F42" s="28"/>
      <c r="G42" s="28"/>
      <c r="H42" s="28"/>
      <c r="I42" s="28"/>
    </row>
    <row r="43">
      <c r="A43" s="80"/>
      <c r="F43" s="28"/>
      <c r="G43" s="28"/>
      <c r="H43" s="28"/>
      <c r="I43" s="28"/>
    </row>
    <row r="44">
      <c r="A44" s="80"/>
      <c r="F44" s="28"/>
      <c r="G44" s="28"/>
      <c r="H44" s="28"/>
      <c r="I44" s="28"/>
    </row>
    <row r="45">
      <c r="A45" s="80"/>
      <c r="F45" s="28"/>
      <c r="G45" s="28"/>
      <c r="H45" s="28"/>
      <c r="I45" s="28"/>
    </row>
    <row r="46">
      <c r="A46" s="80"/>
      <c r="F46" s="28"/>
      <c r="G46" s="28"/>
      <c r="H46" s="28"/>
      <c r="I46" s="28"/>
    </row>
    <row r="47">
      <c r="A47" s="80"/>
      <c r="F47" s="28"/>
      <c r="G47" s="28"/>
      <c r="H47" s="28"/>
      <c r="I47" s="28"/>
    </row>
    <row r="48">
      <c r="A48" s="80"/>
      <c r="F48" s="28"/>
      <c r="G48" s="28"/>
      <c r="H48" s="28"/>
      <c r="I48" s="28"/>
    </row>
    <row r="49">
      <c r="A49" s="80"/>
      <c r="F49" s="28"/>
      <c r="G49" s="28"/>
      <c r="H49" s="28"/>
      <c r="I49" s="28"/>
    </row>
    <row r="50">
      <c r="A50" s="80"/>
      <c r="F50" s="28"/>
      <c r="G50" s="28"/>
      <c r="H50" s="28"/>
      <c r="I50" s="28"/>
    </row>
    <row r="51">
      <c r="A51" s="80"/>
      <c r="F51" s="28"/>
      <c r="G51" s="28"/>
      <c r="H51" s="28"/>
      <c r="I51" s="28"/>
    </row>
    <row r="52">
      <c r="A52" s="80"/>
      <c r="F52" s="28"/>
      <c r="G52" s="28"/>
      <c r="H52" s="28"/>
      <c r="I52" s="28"/>
    </row>
    <row r="53">
      <c r="A53" s="80"/>
      <c r="F53" s="28"/>
      <c r="G53" s="28"/>
      <c r="H53" s="28"/>
      <c r="I53" s="28"/>
    </row>
    <row r="54">
      <c r="A54" s="80"/>
      <c r="F54" s="28"/>
      <c r="G54" s="28"/>
      <c r="H54" s="28"/>
      <c r="I54" s="28"/>
    </row>
    <row r="55">
      <c r="A55" s="80"/>
      <c r="F55" s="28"/>
      <c r="G55" s="28"/>
      <c r="H55" s="28"/>
      <c r="I55" s="28"/>
    </row>
    <row r="56">
      <c r="A56" s="80"/>
      <c r="F56" s="28"/>
      <c r="G56" s="28"/>
      <c r="H56" s="28"/>
      <c r="I56" s="28"/>
    </row>
    <row r="57">
      <c r="A57" s="80"/>
      <c r="F57" s="28"/>
      <c r="G57" s="28"/>
      <c r="H57" s="28"/>
      <c r="I57" s="28"/>
    </row>
    <row r="58">
      <c r="A58" s="80"/>
      <c r="F58" s="28"/>
      <c r="G58" s="28"/>
      <c r="H58" s="28"/>
      <c r="I58" s="28"/>
    </row>
    <row r="59">
      <c r="A59" s="80"/>
      <c r="G59" s="28"/>
      <c r="H59" s="28"/>
      <c r="I59" s="28"/>
    </row>
    <row r="60">
      <c r="A60" s="80"/>
      <c r="G60" s="28"/>
      <c r="H60" s="28"/>
      <c r="I60" s="28"/>
    </row>
    <row r="61">
      <c r="A61" s="80"/>
      <c r="G61" s="28"/>
      <c r="H61" s="28"/>
      <c r="I61" s="28"/>
    </row>
    <row r="62">
      <c r="A62" s="80"/>
      <c r="G62" s="28"/>
      <c r="H62" s="28"/>
      <c r="I62" s="28"/>
    </row>
    <row r="63">
      <c r="A63" s="80"/>
      <c r="G63" s="28"/>
      <c r="H63" s="28"/>
      <c r="I63" s="28"/>
    </row>
    <row r="64">
      <c r="A64" s="80"/>
      <c r="G64" s="28"/>
      <c r="H64" s="28"/>
      <c r="I64" s="28"/>
    </row>
    <row r="65">
      <c r="A65" s="80"/>
      <c r="G65" s="28"/>
      <c r="H65" s="28"/>
      <c r="I65" s="28"/>
    </row>
    <row r="66">
      <c r="A66" s="80"/>
      <c r="G66" s="28"/>
      <c r="H66" s="28"/>
      <c r="I66" s="28"/>
    </row>
    <row r="67">
      <c r="A67" s="80"/>
      <c r="G67" s="28"/>
      <c r="H67" s="28"/>
      <c r="I67" s="28"/>
    </row>
    <row r="68">
      <c r="A68" s="80"/>
      <c r="G68" s="28"/>
      <c r="H68" s="28"/>
      <c r="I68" s="28"/>
    </row>
    <row r="69">
      <c r="A69" s="80"/>
      <c r="G69" s="28"/>
      <c r="H69" s="28"/>
      <c r="I69" s="28"/>
    </row>
    <row r="70">
      <c r="A70" s="80"/>
      <c r="G70" s="28"/>
      <c r="H70" s="28"/>
      <c r="I70" s="28"/>
    </row>
    <row r="71">
      <c r="A71" s="80"/>
      <c r="G71" s="28"/>
      <c r="H71" s="28"/>
      <c r="I71" s="28"/>
    </row>
    <row r="72">
      <c r="A72" s="80"/>
      <c r="G72" s="28"/>
      <c r="H72" s="28"/>
      <c r="I72" s="28"/>
    </row>
    <row r="73">
      <c r="A73" s="80"/>
      <c r="G73" s="28"/>
      <c r="H73" s="28"/>
      <c r="I73" s="28"/>
    </row>
    <row r="74">
      <c r="A74" s="80"/>
      <c r="G74" s="28"/>
      <c r="H74" s="28"/>
      <c r="I74" s="28"/>
    </row>
    <row r="75">
      <c r="A75" s="80"/>
      <c r="G75" s="28"/>
      <c r="H75" s="28"/>
      <c r="I75" s="28"/>
    </row>
    <row r="76">
      <c r="A76" s="80"/>
      <c r="G76" s="28"/>
      <c r="H76" s="28"/>
      <c r="I76" s="28"/>
    </row>
    <row r="77">
      <c r="A77" s="80"/>
      <c r="G77" s="28"/>
      <c r="H77" s="28"/>
      <c r="I77" s="28"/>
    </row>
    <row r="78">
      <c r="A78" s="80"/>
      <c r="G78" s="28"/>
      <c r="H78" s="28"/>
      <c r="I78" s="28"/>
    </row>
    <row r="79">
      <c r="A79" s="80"/>
      <c r="G79" s="28"/>
      <c r="H79" s="28"/>
      <c r="I79" s="28"/>
    </row>
    <row r="80">
      <c r="A80" s="80"/>
      <c r="G80" s="28"/>
      <c r="H80" s="28"/>
      <c r="I80" s="28"/>
    </row>
    <row r="81">
      <c r="A81" s="80"/>
      <c r="G81" s="28"/>
      <c r="H81" s="28"/>
      <c r="I81" s="28"/>
    </row>
    <row r="82">
      <c r="A82" s="80"/>
      <c r="G82" s="28"/>
      <c r="H82" s="28"/>
      <c r="I82" s="28"/>
    </row>
    <row r="83">
      <c r="A83" s="80"/>
      <c r="G83" s="28"/>
      <c r="H83" s="28"/>
      <c r="I83" s="28"/>
    </row>
    <row r="84">
      <c r="A84" s="80"/>
      <c r="G84" s="28"/>
      <c r="H84" s="28"/>
      <c r="I84" s="28"/>
    </row>
    <row r="85">
      <c r="A85" s="80"/>
      <c r="G85" s="28"/>
      <c r="H85" s="28"/>
      <c r="I85" s="28"/>
    </row>
    <row r="86">
      <c r="A86" s="80"/>
      <c r="G86" s="28"/>
      <c r="H86" s="28"/>
      <c r="I86" s="28"/>
    </row>
    <row r="87">
      <c r="A87" s="80"/>
      <c r="G87" s="28"/>
      <c r="H87" s="28"/>
      <c r="I87" s="28"/>
    </row>
    <row r="88">
      <c r="A88" s="80"/>
      <c r="G88" s="28"/>
      <c r="H88" s="28"/>
      <c r="I88" s="28"/>
    </row>
    <row r="89">
      <c r="A89" s="80"/>
      <c r="G89" s="28"/>
      <c r="H89" s="28"/>
      <c r="I89" s="28"/>
    </row>
    <row r="90">
      <c r="A90" s="80"/>
      <c r="G90" s="28"/>
      <c r="H90" s="28"/>
      <c r="I90" s="28"/>
    </row>
    <row r="91">
      <c r="A91" s="80"/>
      <c r="G91" s="28"/>
      <c r="H91" s="28"/>
      <c r="I91" s="28"/>
    </row>
    <row r="92">
      <c r="A92" s="80"/>
      <c r="G92" s="28"/>
      <c r="H92" s="28"/>
      <c r="I92" s="28"/>
    </row>
    <row r="93">
      <c r="A93" s="80"/>
      <c r="G93" s="28"/>
      <c r="H93" s="28"/>
      <c r="I93" s="28"/>
    </row>
    <row r="94">
      <c r="A94" s="80"/>
      <c r="G94" s="28"/>
      <c r="H94" s="28"/>
      <c r="I94" s="28"/>
    </row>
    <row r="95">
      <c r="A95" s="80"/>
      <c r="G95" s="28"/>
      <c r="H95" s="28"/>
      <c r="I95" s="28"/>
    </row>
    <row r="96">
      <c r="A96" s="80"/>
      <c r="G96" s="28"/>
      <c r="H96" s="28"/>
      <c r="I96" s="28"/>
    </row>
    <row r="97">
      <c r="A97" s="80"/>
      <c r="G97" s="28"/>
      <c r="H97" s="28"/>
      <c r="I97" s="28"/>
    </row>
    <row r="98">
      <c r="A98" s="80"/>
      <c r="G98" s="28"/>
      <c r="H98" s="28"/>
      <c r="I98" s="28"/>
    </row>
    <row r="99">
      <c r="A99" s="80"/>
      <c r="G99" s="28"/>
      <c r="H99" s="28"/>
      <c r="I99" s="28"/>
    </row>
    <row r="100">
      <c r="A100" s="80"/>
      <c r="G100" s="28"/>
      <c r="H100" s="28"/>
      <c r="I100" s="28"/>
    </row>
    <row r="101">
      <c r="A101" s="80"/>
      <c r="G101" s="28"/>
      <c r="H101" s="28"/>
      <c r="I101" s="28"/>
    </row>
    <row r="102">
      <c r="A102" s="80"/>
      <c r="G102" s="28"/>
      <c r="H102" s="28"/>
      <c r="I102" s="28"/>
    </row>
    <row r="103">
      <c r="A103" s="80"/>
      <c r="G103" s="28"/>
      <c r="H103" s="28"/>
      <c r="I103" s="28"/>
    </row>
    <row r="104">
      <c r="A104" s="80"/>
      <c r="G104" s="28"/>
      <c r="H104" s="28"/>
      <c r="I104" s="28"/>
    </row>
    <row r="105">
      <c r="A105" s="80"/>
      <c r="G105" s="28"/>
      <c r="H105" s="28"/>
      <c r="I105" s="28"/>
    </row>
    <row r="106">
      <c r="A106" s="80"/>
      <c r="G106" s="28"/>
      <c r="H106" s="28"/>
      <c r="I106" s="28"/>
    </row>
    <row r="107">
      <c r="A107" s="80"/>
      <c r="G107" s="28"/>
      <c r="H107" s="28"/>
      <c r="I107" s="28"/>
    </row>
    <row r="108">
      <c r="A108" s="80"/>
      <c r="G108" s="28"/>
      <c r="H108" s="28"/>
      <c r="I108" s="28"/>
    </row>
    <row r="109">
      <c r="A109" s="80"/>
      <c r="G109" s="28"/>
      <c r="H109" s="28"/>
      <c r="I109" s="28"/>
    </row>
    <row r="110">
      <c r="A110" s="80"/>
      <c r="G110" s="28"/>
      <c r="H110" s="28"/>
      <c r="I110" s="28"/>
    </row>
    <row r="111">
      <c r="A111" s="80"/>
      <c r="G111" s="28"/>
      <c r="H111" s="28"/>
      <c r="I111" s="28"/>
    </row>
    <row r="112">
      <c r="A112" s="80"/>
      <c r="G112" s="28"/>
      <c r="H112" s="28"/>
      <c r="I112" s="28"/>
    </row>
    <row r="113">
      <c r="A113" s="80"/>
      <c r="G113" s="28"/>
      <c r="H113" s="28"/>
      <c r="I113" s="28"/>
    </row>
    <row r="114">
      <c r="A114" s="80"/>
      <c r="G114" s="28"/>
      <c r="H114" s="28"/>
      <c r="I114" s="28"/>
    </row>
    <row r="115">
      <c r="A115" s="80"/>
      <c r="G115" s="28"/>
      <c r="H115" s="28"/>
      <c r="I115" s="28"/>
    </row>
    <row r="116">
      <c r="A116" s="80"/>
      <c r="G116" s="28"/>
      <c r="H116" s="28"/>
      <c r="I116" s="28"/>
    </row>
    <row r="117">
      <c r="A117" s="80"/>
      <c r="G117" s="28"/>
      <c r="H117" s="28"/>
      <c r="I117" s="28"/>
    </row>
    <row r="118">
      <c r="A118" s="80"/>
      <c r="G118" s="28"/>
      <c r="H118" s="28"/>
      <c r="I118" s="28"/>
    </row>
    <row r="119">
      <c r="A119" s="80"/>
      <c r="G119" s="28"/>
      <c r="H119" s="28"/>
      <c r="I119" s="28"/>
    </row>
    <row r="120">
      <c r="A120" s="80"/>
      <c r="G120" s="28"/>
      <c r="H120" s="28"/>
      <c r="I120" s="28"/>
    </row>
    <row r="121">
      <c r="A121" s="80"/>
      <c r="G121" s="28"/>
      <c r="H121" s="28"/>
      <c r="I121" s="28"/>
    </row>
    <row r="122">
      <c r="A122" s="80"/>
      <c r="G122" s="28"/>
      <c r="H122" s="28"/>
      <c r="I122" s="28"/>
    </row>
    <row r="123">
      <c r="A123" s="80"/>
      <c r="G123" s="28"/>
      <c r="H123" s="28"/>
      <c r="I123" s="28"/>
    </row>
    <row r="124">
      <c r="A124" s="80"/>
      <c r="G124" s="28"/>
      <c r="H124" s="28"/>
      <c r="I124" s="28"/>
    </row>
    <row r="125">
      <c r="A125" s="80"/>
      <c r="G125" s="28"/>
      <c r="H125" s="28"/>
      <c r="I125" s="28"/>
    </row>
    <row r="126">
      <c r="A126" s="80"/>
      <c r="G126" s="28"/>
      <c r="H126" s="28"/>
      <c r="I126" s="28"/>
    </row>
    <row r="127">
      <c r="A127" s="80"/>
      <c r="G127" s="28"/>
      <c r="H127" s="28"/>
      <c r="I127" s="28"/>
    </row>
    <row r="128">
      <c r="A128" s="80"/>
      <c r="G128" s="28"/>
      <c r="H128" s="28"/>
      <c r="I128" s="28"/>
    </row>
    <row r="129">
      <c r="A129" s="80"/>
      <c r="G129" s="28"/>
      <c r="H129" s="28"/>
      <c r="I129" s="28"/>
    </row>
    <row r="130">
      <c r="A130" s="80"/>
      <c r="G130" s="28"/>
      <c r="H130" s="28"/>
      <c r="I130" s="28"/>
    </row>
    <row r="131">
      <c r="A131" s="80"/>
      <c r="G131" s="28"/>
      <c r="H131" s="28"/>
      <c r="I131" s="28"/>
    </row>
    <row r="132">
      <c r="A132" s="80"/>
      <c r="G132" s="28"/>
      <c r="H132" s="28"/>
      <c r="I132" s="28"/>
    </row>
    <row r="133">
      <c r="A133" s="80"/>
      <c r="G133" s="28"/>
      <c r="H133" s="28"/>
      <c r="I133" s="28"/>
    </row>
    <row r="134">
      <c r="A134" s="80"/>
      <c r="G134" s="28"/>
      <c r="H134" s="28"/>
      <c r="I134" s="28"/>
    </row>
    <row r="135">
      <c r="A135" s="80"/>
      <c r="G135" s="28"/>
      <c r="H135" s="28"/>
      <c r="I135" s="28"/>
    </row>
    <row r="136">
      <c r="A136" s="80"/>
      <c r="G136" s="28"/>
      <c r="H136" s="28"/>
      <c r="I136" s="28"/>
    </row>
    <row r="137">
      <c r="A137" s="80"/>
      <c r="G137" s="28"/>
      <c r="H137" s="28"/>
      <c r="I137" s="28"/>
    </row>
    <row r="138">
      <c r="A138" s="80"/>
      <c r="G138" s="28"/>
      <c r="H138" s="28"/>
      <c r="I138" s="28"/>
    </row>
    <row r="139">
      <c r="A139" s="80"/>
      <c r="G139" s="28"/>
      <c r="H139" s="28"/>
      <c r="I139" s="28"/>
    </row>
    <row r="140">
      <c r="A140" s="80"/>
      <c r="G140" s="28"/>
      <c r="H140" s="28"/>
      <c r="I140" s="28"/>
    </row>
    <row r="141">
      <c r="A141" s="80"/>
      <c r="G141" s="28"/>
      <c r="H141" s="28"/>
      <c r="I141" s="28"/>
    </row>
    <row r="142">
      <c r="A142" s="80"/>
      <c r="G142" s="28"/>
      <c r="H142" s="28"/>
      <c r="I142" s="28"/>
    </row>
    <row r="143">
      <c r="A143" s="80"/>
      <c r="G143" s="28"/>
      <c r="H143" s="28"/>
      <c r="I143" s="28"/>
    </row>
    <row r="144">
      <c r="A144" s="80"/>
      <c r="G144" s="28"/>
      <c r="H144" s="28"/>
      <c r="I144" s="28"/>
    </row>
    <row r="145">
      <c r="A145" s="80"/>
      <c r="G145" s="28"/>
      <c r="H145" s="28"/>
      <c r="I145" s="28"/>
    </row>
    <row r="146">
      <c r="A146" s="80"/>
      <c r="G146" s="28"/>
      <c r="H146" s="28"/>
      <c r="I146" s="28"/>
    </row>
    <row r="147">
      <c r="A147" s="80"/>
      <c r="G147" s="28"/>
      <c r="H147" s="28"/>
      <c r="I147" s="28"/>
    </row>
    <row r="148">
      <c r="A148" s="80"/>
      <c r="G148" s="28"/>
      <c r="H148" s="28"/>
      <c r="I148" s="28"/>
    </row>
    <row r="149">
      <c r="A149" s="80"/>
      <c r="G149" s="28"/>
      <c r="H149" s="28"/>
      <c r="I149" s="28"/>
    </row>
    <row r="150">
      <c r="A150" s="80"/>
      <c r="G150" s="28"/>
      <c r="H150" s="28"/>
      <c r="I150" s="28"/>
    </row>
    <row r="151">
      <c r="A151" s="80"/>
      <c r="G151" s="28"/>
      <c r="H151" s="28"/>
      <c r="I151" s="28"/>
    </row>
    <row r="152">
      <c r="A152" s="80"/>
      <c r="G152" s="28"/>
      <c r="H152" s="28"/>
      <c r="I152" s="28"/>
    </row>
    <row r="153">
      <c r="A153" s="80"/>
      <c r="G153" s="28"/>
      <c r="H153" s="28"/>
      <c r="I153" s="28"/>
    </row>
    <row r="154">
      <c r="A154" s="80"/>
      <c r="G154" s="28"/>
      <c r="H154" s="28"/>
      <c r="I154" s="28"/>
    </row>
    <row r="155">
      <c r="A155" s="80"/>
      <c r="G155" s="28"/>
      <c r="H155" s="28"/>
      <c r="I155" s="28"/>
    </row>
    <row r="156">
      <c r="A156" s="80"/>
      <c r="G156" s="28"/>
      <c r="H156" s="28"/>
      <c r="I156" s="28"/>
    </row>
    <row r="157">
      <c r="A157" s="80"/>
      <c r="G157" s="28"/>
      <c r="H157" s="28"/>
      <c r="I157" s="28"/>
    </row>
    <row r="158">
      <c r="A158" s="80"/>
      <c r="G158" s="28"/>
      <c r="H158" s="28"/>
      <c r="I158" s="28"/>
    </row>
    <row r="159">
      <c r="A159" s="80"/>
      <c r="G159" s="28"/>
      <c r="H159" s="28"/>
      <c r="I159" s="28"/>
    </row>
    <row r="160">
      <c r="A160" s="80"/>
      <c r="G160" s="28"/>
      <c r="H160" s="28"/>
      <c r="I160" s="28"/>
    </row>
    <row r="161">
      <c r="A161" s="80"/>
      <c r="G161" s="28"/>
      <c r="H161" s="28"/>
      <c r="I161" s="28"/>
    </row>
    <row r="162">
      <c r="A162" s="80"/>
      <c r="G162" s="28"/>
      <c r="H162" s="28"/>
      <c r="I162" s="28"/>
    </row>
    <row r="163">
      <c r="A163" s="80"/>
      <c r="G163" s="28"/>
      <c r="H163" s="28"/>
      <c r="I163" s="28"/>
    </row>
    <row r="164">
      <c r="A164" s="80"/>
      <c r="G164" s="28"/>
      <c r="H164" s="28"/>
      <c r="I164" s="28"/>
    </row>
    <row r="165">
      <c r="A165" s="80"/>
      <c r="G165" s="28"/>
      <c r="H165" s="28"/>
      <c r="I165" s="28"/>
    </row>
    <row r="166">
      <c r="A166" s="80"/>
      <c r="G166" s="28"/>
      <c r="H166" s="28"/>
      <c r="I166" s="28"/>
    </row>
    <row r="167">
      <c r="A167" s="80"/>
      <c r="G167" s="28"/>
      <c r="H167" s="28"/>
      <c r="I167" s="28"/>
    </row>
    <row r="168">
      <c r="A168" s="80"/>
      <c r="G168" s="28"/>
      <c r="H168" s="28"/>
      <c r="I168" s="28"/>
    </row>
    <row r="169">
      <c r="A169" s="80"/>
      <c r="G169" s="28"/>
      <c r="H169" s="28"/>
      <c r="I169" s="28"/>
    </row>
    <row r="170">
      <c r="A170" s="80"/>
      <c r="G170" s="28"/>
      <c r="H170" s="28"/>
      <c r="I170" s="28"/>
    </row>
    <row r="171">
      <c r="A171" s="80"/>
      <c r="G171" s="28"/>
      <c r="H171" s="28"/>
      <c r="I171" s="28"/>
    </row>
    <row r="172">
      <c r="A172" s="80"/>
      <c r="G172" s="28"/>
      <c r="H172" s="28"/>
      <c r="I172" s="28"/>
    </row>
    <row r="173">
      <c r="A173" s="80"/>
      <c r="G173" s="28"/>
      <c r="H173" s="28"/>
      <c r="I173" s="28"/>
    </row>
    <row r="174">
      <c r="A174" s="80"/>
      <c r="G174" s="28"/>
      <c r="H174" s="28"/>
      <c r="I174" s="28"/>
    </row>
    <row r="175">
      <c r="A175" s="80"/>
      <c r="G175" s="28"/>
      <c r="H175" s="28"/>
      <c r="I175" s="28"/>
    </row>
    <row r="176">
      <c r="A176" s="80"/>
      <c r="G176" s="28"/>
      <c r="H176" s="28"/>
      <c r="I176" s="28"/>
    </row>
    <row r="177">
      <c r="A177" s="80"/>
      <c r="G177" s="28"/>
      <c r="H177" s="28"/>
      <c r="I177" s="28"/>
    </row>
    <row r="178">
      <c r="A178" s="80"/>
      <c r="G178" s="28"/>
      <c r="H178" s="28"/>
      <c r="I178" s="28"/>
    </row>
    <row r="179">
      <c r="A179" s="80"/>
      <c r="G179" s="28"/>
      <c r="H179" s="28"/>
      <c r="I179" s="28"/>
    </row>
    <row r="180">
      <c r="A180" s="80"/>
      <c r="G180" s="28"/>
      <c r="H180" s="28"/>
      <c r="I180" s="28"/>
    </row>
    <row r="181">
      <c r="A181" s="80"/>
      <c r="G181" s="28"/>
      <c r="H181" s="28"/>
      <c r="I181" s="28"/>
    </row>
    <row r="182">
      <c r="A182" s="80"/>
      <c r="G182" s="28"/>
      <c r="H182" s="28"/>
      <c r="I182" s="28"/>
    </row>
    <row r="183">
      <c r="A183" s="80"/>
      <c r="G183" s="28"/>
      <c r="H183" s="28"/>
      <c r="I183" s="28"/>
    </row>
    <row r="184">
      <c r="A184" s="80"/>
      <c r="G184" s="28"/>
      <c r="H184" s="28"/>
      <c r="I184" s="28"/>
    </row>
    <row r="185">
      <c r="A185" s="80"/>
      <c r="G185" s="28"/>
      <c r="H185" s="28"/>
      <c r="I185" s="28"/>
    </row>
    <row r="186">
      <c r="A186" s="80"/>
      <c r="G186" s="28"/>
      <c r="H186" s="28"/>
      <c r="I186" s="28"/>
    </row>
    <row r="187">
      <c r="A187" s="80"/>
      <c r="G187" s="28"/>
      <c r="H187" s="28"/>
      <c r="I187" s="28"/>
    </row>
    <row r="188">
      <c r="A188" s="80"/>
      <c r="G188" s="28"/>
      <c r="H188" s="28"/>
      <c r="I188" s="28"/>
    </row>
    <row r="189">
      <c r="A189" s="80"/>
      <c r="G189" s="28"/>
      <c r="H189" s="28"/>
      <c r="I189" s="28"/>
    </row>
    <row r="190">
      <c r="A190" s="80"/>
      <c r="G190" s="28"/>
      <c r="H190" s="28"/>
      <c r="I190" s="28"/>
    </row>
    <row r="191">
      <c r="A191" s="80"/>
      <c r="G191" s="28"/>
      <c r="H191" s="28"/>
      <c r="I191" s="28"/>
    </row>
    <row r="192">
      <c r="A192" s="80"/>
      <c r="G192" s="28"/>
      <c r="H192" s="28"/>
      <c r="I192" s="28"/>
    </row>
    <row r="193">
      <c r="A193" s="80"/>
      <c r="G193" s="28"/>
      <c r="H193" s="28"/>
      <c r="I193" s="28"/>
    </row>
    <row r="194">
      <c r="A194" s="80"/>
      <c r="G194" s="28"/>
      <c r="H194" s="28"/>
      <c r="I194" s="28"/>
    </row>
    <row r="195">
      <c r="A195" s="80"/>
      <c r="G195" s="28"/>
      <c r="H195" s="28"/>
      <c r="I195" s="28"/>
    </row>
    <row r="196">
      <c r="A196" s="80"/>
      <c r="G196" s="28"/>
      <c r="H196" s="28"/>
      <c r="I196" s="28"/>
    </row>
    <row r="197">
      <c r="A197" s="80"/>
      <c r="G197" s="28"/>
      <c r="H197" s="28"/>
      <c r="I197" s="28"/>
    </row>
    <row r="198">
      <c r="A198" s="80"/>
      <c r="G198" s="28"/>
      <c r="H198" s="28"/>
      <c r="I198" s="28"/>
    </row>
    <row r="199">
      <c r="A199" s="80"/>
      <c r="G199" s="28"/>
      <c r="H199" s="28"/>
      <c r="I199" s="28"/>
    </row>
    <row r="200">
      <c r="A200" s="80"/>
      <c r="G200" s="28"/>
      <c r="H200" s="28"/>
      <c r="I200" s="28"/>
    </row>
    <row r="201">
      <c r="A201" s="80"/>
      <c r="G201" s="28"/>
      <c r="H201" s="28"/>
      <c r="I201" s="28"/>
    </row>
    <row r="202">
      <c r="A202" s="80"/>
      <c r="G202" s="28"/>
      <c r="H202" s="28"/>
      <c r="I202" s="28"/>
    </row>
    <row r="203">
      <c r="A203" s="80"/>
      <c r="G203" s="28"/>
      <c r="H203" s="28"/>
      <c r="I203" s="28"/>
    </row>
    <row r="204">
      <c r="A204" s="80"/>
      <c r="G204" s="28"/>
      <c r="H204" s="28"/>
      <c r="I204" s="28"/>
    </row>
    <row r="205">
      <c r="A205" s="80"/>
      <c r="G205" s="28"/>
      <c r="H205" s="28"/>
      <c r="I205" s="28"/>
    </row>
    <row r="206">
      <c r="A206" s="80"/>
      <c r="G206" s="28"/>
      <c r="H206" s="28"/>
      <c r="I206" s="28"/>
    </row>
    <row r="207">
      <c r="A207" s="80"/>
      <c r="G207" s="28"/>
      <c r="H207" s="28"/>
      <c r="I207" s="28"/>
    </row>
    <row r="208">
      <c r="A208" s="80"/>
      <c r="G208" s="28"/>
      <c r="H208" s="28"/>
      <c r="I208" s="28"/>
    </row>
    <row r="209">
      <c r="A209" s="80"/>
      <c r="G209" s="28"/>
      <c r="H209" s="28"/>
      <c r="I209" s="28"/>
    </row>
    <row r="210">
      <c r="A210" s="80"/>
      <c r="G210" s="28"/>
      <c r="H210" s="28"/>
      <c r="I210" s="28"/>
    </row>
    <row r="211">
      <c r="A211" s="80"/>
      <c r="G211" s="28"/>
      <c r="H211" s="28"/>
      <c r="I211" s="28"/>
    </row>
    <row r="212">
      <c r="A212" s="80"/>
      <c r="G212" s="28"/>
      <c r="H212" s="28"/>
      <c r="I212" s="28"/>
    </row>
    <row r="213">
      <c r="A213" s="80"/>
      <c r="G213" s="28"/>
      <c r="H213" s="28"/>
      <c r="I213" s="28"/>
    </row>
    <row r="214">
      <c r="A214" s="80"/>
      <c r="G214" s="28"/>
      <c r="H214" s="28"/>
      <c r="I214" s="28"/>
    </row>
    <row r="215">
      <c r="A215" s="80"/>
      <c r="G215" s="28"/>
      <c r="H215" s="28"/>
      <c r="I215" s="28"/>
    </row>
    <row r="216">
      <c r="A216" s="80"/>
      <c r="G216" s="28"/>
      <c r="H216" s="28"/>
      <c r="I216" s="28"/>
    </row>
    <row r="217">
      <c r="A217" s="80"/>
      <c r="G217" s="28"/>
      <c r="H217" s="28"/>
      <c r="I217" s="28"/>
    </row>
    <row r="218">
      <c r="A218" s="80"/>
      <c r="G218" s="28"/>
      <c r="H218" s="28"/>
      <c r="I218" s="28"/>
    </row>
    <row r="219">
      <c r="A219" s="80"/>
      <c r="G219" s="28"/>
      <c r="H219" s="28"/>
      <c r="I219" s="28"/>
    </row>
    <row r="220">
      <c r="A220" s="80"/>
      <c r="G220" s="28"/>
      <c r="H220" s="28"/>
      <c r="I220" s="28"/>
    </row>
    <row r="221">
      <c r="A221" s="80"/>
      <c r="G221" s="28"/>
      <c r="H221" s="28"/>
      <c r="I221" s="28"/>
    </row>
    <row r="222">
      <c r="A222" s="80"/>
      <c r="G222" s="28"/>
      <c r="H222" s="28"/>
      <c r="I222" s="28"/>
    </row>
    <row r="223">
      <c r="A223" s="80"/>
      <c r="G223" s="28"/>
      <c r="H223" s="28"/>
      <c r="I223" s="28"/>
    </row>
    <row r="224">
      <c r="A224" s="80"/>
      <c r="G224" s="28"/>
      <c r="H224" s="28"/>
      <c r="I224" s="28"/>
    </row>
    <row r="225">
      <c r="A225" s="80"/>
      <c r="G225" s="28"/>
      <c r="H225" s="28"/>
      <c r="I225" s="28"/>
    </row>
    <row r="226">
      <c r="A226" s="80"/>
      <c r="G226" s="28"/>
      <c r="H226" s="28"/>
      <c r="I226" s="28"/>
    </row>
    <row r="227">
      <c r="A227" s="80"/>
      <c r="G227" s="28"/>
      <c r="H227" s="28"/>
      <c r="I227" s="28"/>
    </row>
    <row r="228">
      <c r="A228" s="80"/>
      <c r="G228" s="28"/>
      <c r="H228" s="28"/>
      <c r="I228" s="28"/>
    </row>
    <row r="229">
      <c r="A229" s="80"/>
      <c r="G229" s="28"/>
      <c r="H229" s="28"/>
      <c r="I229" s="28"/>
    </row>
    <row r="230">
      <c r="A230" s="80"/>
      <c r="G230" s="28"/>
      <c r="H230" s="28"/>
      <c r="I230" s="28"/>
    </row>
    <row r="231">
      <c r="A231" s="80"/>
      <c r="G231" s="28"/>
      <c r="H231" s="28"/>
      <c r="I231" s="28"/>
    </row>
    <row r="232">
      <c r="A232" s="80"/>
      <c r="G232" s="28"/>
      <c r="H232" s="28"/>
      <c r="I232" s="28"/>
    </row>
    <row r="233">
      <c r="A233" s="80"/>
      <c r="G233" s="28"/>
      <c r="H233" s="28"/>
      <c r="I233" s="28"/>
    </row>
    <row r="234">
      <c r="A234" s="80"/>
      <c r="G234" s="28"/>
      <c r="H234" s="28"/>
      <c r="I234" s="28"/>
    </row>
    <row r="235">
      <c r="A235" s="80"/>
      <c r="G235" s="28"/>
      <c r="H235" s="28"/>
      <c r="I235" s="28"/>
    </row>
    <row r="236">
      <c r="A236" s="80"/>
      <c r="G236" s="28"/>
      <c r="H236" s="28"/>
      <c r="I236" s="28"/>
    </row>
    <row r="237">
      <c r="A237" s="80"/>
      <c r="G237" s="28"/>
      <c r="H237" s="28"/>
      <c r="I237" s="28"/>
    </row>
    <row r="238">
      <c r="A238" s="80"/>
      <c r="G238" s="28"/>
      <c r="H238" s="28"/>
      <c r="I238" s="28"/>
    </row>
    <row r="239">
      <c r="A239" s="80"/>
      <c r="G239" s="28"/>
      <c r="H239" s="28"/>
      <c r="I239" s="28"/>
    </row>
    <row r="240">
      <c r="A240" s="80"/>
      <c r="G240" s="28"/>
      <c r="H240" s="28"/>
      <c r="I240" s="28"/>
    </row>
    <row r="241">
      <c r="A241" s="80"/>
      <c r="G241" s="28"/>
      <c r="H241" s="28"/>
      <c r="I241" s="28"/>
    </row>
    <row r="242">
      <c r="A242" s="80"/>
      <c r="G242" s="28"/>
      <c r="H242" s="28"/>
      <c r="I242" s="28"/>
    </row>
    <row r="243">
      <c r="A243" s="80"/>
      <c r="G243" s="28"/>
      <c r="H243" s="28"/>
      <c r="I243" s="28"/>
    </row>
    <row r="244">
      <c r="A244" s="80"/>
      <c r="G244" s="28"/>
      <c r="H244" s="28"/>
      <c r="I244" s="28"/>
    </row>
    <row r="245">
      <c r="A245" s="80"/>
      <c r="G245" s="28"/>
      <c r="H245" s="28"/>
      <c r="I245" s="28"/>
    </row>
    <row r="246">
      <c r="A246" s="80"/>
      <c r="G246" s="28"/>
      <c r="H246" s="28"/>
      <c r="I246" s="28"/>
    </row>
    <row r="247">
      <c r="A247" s="80"/>
      <c r="G247" s="28"/>
      <c r="H247" s="28"/>
      <c r="I247" s="28"/>
    </row>
    <row r="248">
      <c r="A248" s="80"/>
      <c r="G248" s="28"/>
      <c r="H248" s="28"/>
      <c r="I248" s="28"/>
    </row>
    <row r="249">
      <c r="A249" s="80"/>
      <c r="G249" s="28"/>
      <c r="H249" s="28"/>
      <c r="I249" s="28"/>
    </row>
    <row r="250">
      <c r="A250" s="80"/>
      <c r="G250" s="28"/>
      <c r="H250" s="28"/>
      <c r="I250" s="28"/>
    </row>
    <row r="251">
      <c r="A251" s="80"/>
      <c r="G251" s="28"/>
      <c r="H251" s="28"/>
      <c r="I251" s="28"/>
    </row>
    <row r="252">
      <c r="A252" s="80"/>
      <c r="G252" s="28"/>
      <c r="H252" s="28"/>
      <c r="I252" s="28"/>
    </row>
    <row r="253">
      <c r="A253" s="80"/>
      <c r="G253" s="28"/>
      <c r="H253" s="28"/>
      <c r="I253" s="28"/>
    </row>
    <row r="254">
      <c r="A254" s="80"/>
      <c r="G254" s="28"/>
      <c r="H254" s="28"/>
      <c r="I254" s="28"/>
    </row>
    <row r="255">
      <c r="A255" s="80"/>
      <c r="G255" s="28"/>
      <c r="H255" s="28"/>
      <c r="I255" s="28"/>
    </row>
    <row r="256">
      <c r="A256" s="80"/>
      <c r="G256" s="28"/>
      <c r="H256" s="28"/>
      <c r="I256" s="28"/>
    </row>
    <row r="257">
      <c r="A257" s="80"/>
      <c r="G257" s="28"/>
      <c r="H257" s="28"/>
      <c r="I257" s="28"/>
    </row>
    <row r="258">
      <c r="A258" s="80"/>
      <c r="G258" s="28"/>
      <c r="H258" s="28"/>
      <c r="I258" s="28"/>
    </row>
    <row r="259">
      <c r="A259" s="80"/>
      <c r="G259" s="28"/>
      <c r="H259" s="28"/>
      <c r="I259" s="28"/>
    </row>
    <row r="260">
      <c r="A260" s="80"/>
      <c r="G260" s="28"/>
      <c r="H260" s="28"/>
      <c r="I260" s="28"/>
    </row>
    <row r="261">
      <c r="A261" s="80"/>
      <c r="G261" s="28"/>
      <c r="H261" s="28"/>
      <c r="I261" s="28"/>
    </row>
    <row r="262">
      <c r="A262" s="80"/>
      <c r="G262" s="28"/>
      <c r="H262" s="28"/>
      <c r="I262" s="28"/>
    </row>
    <row r="263">
      <c r="A263" s="80"/>
      <c r="G263" s="28"/>
      <c r="H263" s="28"/>
      <c r="I263" s="28"/>
    </row>
    <row r="264">
      <c r="A264" s="80"/>
      <c r="G264" s="28"/>
      <c r="H264" s="28"/>
      <c r="I264" s="28"/>
    </row>
    <row r="265">
      <c r="A265" s="80"/>
      <c r="G265" s="28"/>
      <c r="H265" s="28"/>
      <c r="I265" s="28"/>
    </row>
    <row r="266">
      <c r="A266" s="80"/>
      <c r="G266" s="28"/>
      <c r="H266" s="28"/>
      <c r="I266" s="28"/>
    </row>
    <row r="267">
      <c r="A267" s="80"/>
      <c r="G267" s="28"/>
      <c r="H267" s="28"/>
      <c r="I267" s="28"/>
    </row>
    <row r="268">
      <c r="A268" s="80"/>
      <c r="G268" s="28"/>
      <c r="H268" s="28"/>
      <c r="I268" s="28"/>
    </row>
    <row r="269">
      <c r="A269" s="80"/>
      <c r="G269" s="28"/>
      <c r="H269" s="28"/>
      <c r="I269" s="28"/>
    </row>
    <row r="270">
      <c r="A270" s="80"/>
      <c r="G270" s="28"/>
      <c r="H270" s="28"/>
      <c r="I270" s="28"/>
    </row>
    <row r="271">
      <c r="A271" s="80"/>
      <c r="G271" s="28"/>
      <c r="H271" s="28"/>
      <c r="I271" s="28"/>
    </row>
    <row r="272">
      <c r="A272" s="80"/>
      <c r="G272" s="28"/>
      <c r="H272" s="28"/>
      <c r="I272" s="28"/>
    </row>
    <row r="273">
      <c r="A273" s="80"/>
      <c r="G273" s="28"/>
      <c r="H273" s="28"/>
      <c r="I273" s="28"/>
    </row>
    <row r="274">
      <c r="A274" s="80"/>
      <c r="G274" s="28"/>
      <c r="H274" s="28"/>
      <c r="I274" s="28"/>
    </row>
    <row r="275">
      <c r="A275" s="80"/>
      <c r="G275" s="28"/>
      <c r="H275" s="28"/>
      <c r="I275" s="28"/>
    </row>
    <row r="276">
      <c r="A276" s="80"/>
      <c r="G276" s="28"/>
      <c r="H276" s="28"/>
      <c r="I276" s="28"/>
    </row>
    <row r="277">
      <c r="A277" s="80"/>
      <c r="G277" s="28"/>
      <c r="H277" s="28"/>
      <c r="I277" s="28"/>
    </row>
    <row r="278">
      <c r="A278" s="80"/>
      <c r="G278" s="28"/>
      <c r="H278" s="28"/>
      <c r="I278" s="28"/>
    </row>
    <row r="279">
      <c r="A279" s="80"/>
      <c r="G279" s="28"/>
      <c r="H279" s="28"/>
      <c r="I279" s="28"/>
    </row>
    <row r="280">
      <c r="A280" s="80"/>
      <c r="G280" s="28"/>
      <c r="H280" s="28"/>
      <c r="I280" s="28"/>
    </row>
    <row r="281">
      <c r="A281" s="80"/>
      <c r="G281" s="28"/>
      <c r="H281" s="28"/>
      <c r="I281" s="28"/>
    </row>
    <row r="282">
      <c r="A282" s="80"/>
      <c r="G282" s="28"/>
      <c r="H282" s="28"/>
      <c r="I282" s="28"/>
    </row>
    <row r="283">
      <c r="A283" s="80"/>
      <c r="G283" s="28"/>
      <c r="H283" s="28"/>
      <c r="I283" s="28"/>
    </row>
    <row r="284">
      <c r="A284" s="80"/>
      <c r="G284" s="28"/>
      <c r="H284" s="28"/>
      <c r="I284" s="28"/>
    </row>
    <row r="285">
      <c r="A285" s="80"/>
      <c r="G285" s="28"/>
      <c r="H285" s="28"/>
      <c r="I285" s="28"/>
    </row>
    <row r="286">
      <c r="A286" s="80"/>
      <c r="G286" s="28"/>
      <c r="H286" s="28"/>
      <c r="I286" s="28"/>
    </row>
    <row r="287">
      <c r="A287" s="80"/>
      <c r="G287" s="28"/>
      <c r="H287" s="28"/>
      <c r="I287" s="28"/>
    </row>
    <row r="288">
      <c r="A288" s="80"/>
      <c r="G288" s="28"/>
      <c r="H288" s="28"/>
      <c r="I288" s="28"/>
    </row>
    <row r="289">
      <c r="A289" s="80"/>
      <c r="G289" s="28"/>
      <c r="H289" s="28"/>
      <c r="I289" s="28"/>
    </row>
    <row r="290">
      <c r="A290" s="80"/>
      <c r="G290" s="28"/>
      <c r="H290" s="28"/>
      <c r="I290" s="28"/>
    </row>
    <row r="291">
      <c r="A291" s="80"/>
      <c r="G291" s="28"/>
      <c r="H291" s="28"/>
      <c r="I291" s="28"/>
    </row>
    <row r="292">
      <c r="A292" s="80"/>
      <c r="G292" s="28"/>
      <c r="H292" s="28"/>
      <c r="I292" s="28"/>
    </row>
    <row r="293">
      <c r="A293" s="80"/>
      <c r="G293" s="28"/>
      <c r="H293" s="28"/>
      <c r="I293" s="28"/>
    </row>
    <row r="294">
      <c r="A294" s="80"/>
      <c r="G294" s="28"/>
      <c r="H294" s="28"/>
      <c r="I294" s="28"/>
    </row>
    <row r="295">
      <c r="A295" s="80"/>
      <c r="G295" s="28"/>
      <c r="H295" s="28"/>
      <c r="I295" s="28"/>
    </row>
    <row r="296">
      <c r="A296" s="80"/>
      <c r="G296" s="28"/>
      <c r="H296" s="28"/>
      <c r="I296" s="28"/>
    </row>
    <row r="297">
      <c r="A297" s="80"/>
      <c r="G297" s="28"/>
      <c r="H297" s="28"/>
      <c r="I297" s="28"/>
    </row>
    <row r="298">
      <c r="A298" s="80"/>
      <c r="G298" s="28"/>
      <c r="H298" s="28"/>
      <c r="I298" s="28"/>
    </row>
    <row r="299">
      <c r="A299" s="80"/>
      <c r="G299" s="28"/>
      <c r="H299" s="28"/>
      <c r="I299" s="28"/>
    </row>
    <row r="300">
      <c r="A300" s="80"/>
      <c r="G300" s="28"/>
      <c r="H300" s="28"/>
      <c r="I300" s="28"/>
    </row>
    <row r="301">
      <c r="A301" s="80"/>
      <c r="G301" s="28"/>
      <c r="H301" s="28"/>
      <c r="I301" s="28"/>
    </row>
    <row r="302">
      <c r="A302" s="80"/>
      <c r="G302" s="28"/>
      <c r="H302" s="28"/>
      <c r="I302" s="28"/>
    </row>
    <row r="303">
      <c r="A303" s="80"/>
      <c r="G303" s="28"/>
      <c r="H303" s="28"/>
      <c r="I303" s="28"/>
    </row>
    <row r="304">
      <c r="A304" s="80"/>
      <c r="G304" s="28"/>
      <c r="H304" s="28"/>
      <c r="I304" s="28"/>
    </row>
    <row r="305">
      <c r="A305" s="80"/>
      <c r="G305" s="28"/>
      <c r="H305" s="28"/>
      <c r="I305" s="28"/>
    </row>
    <row r="306">
      <c r="A306" s="80"/>
      <c r="G306" s="28"/>
      <c r="H306" s="28"/>
      <c r="I306" s="28"/>
    </row>
    <row r="307">
      <c r="A307" s="80"/>
      <c r="G307" s="28"/>
      <c r="H307" s="28"/>
      <c r="I307" s="28"/>
    </row>
    <row r="308">
      <c r="A308" s="80"/>
      <c r="G308" s="28"/>
      <c r="H308" s="28"/>
      <c r="I308" s="28"/>
    </row>
    <row r="309">
      <c r="A309" s="80"/>
      <c r="G309" s="28"/>
      <c r="H309" s="28"/>
      <c r="I309" s="28"/>
    </row>
    <row r="310">
      <c r="A310" s="80"/>
      <c r="G310" s="28"/>
      <c r="H310" s="28"/>
      <c r="I310" s="28"/>
    </row>
    <row r="311">
      <c r="A311" s="80"/>
      <c r="G311" s="28"/>
      <c r="H311" s="28"/>
      <c r="I311" s="28"/>
    </row>
    <row r="312">
      <c r="A312" s="80"/>
      <c r="G312" s="28"/>
      <c r="H312" s="28"/>
      <c r="I312" s="28"/>
    </row>
    <row r="313">
      <c r="A313" s="80"/>
      <c r="G313" s="28"/>
      <c r="H313" s="28"/>
      <c r="I313" s="28"/>
    </row>
    <row r="314">
      <c r="A314" s="80"/>
      <c r="G314" s="28"/>
      <c r="H314" s="28"/>
      <c r="I314" s="28"/>
    </row>
    <row r="315">
      <c r="A315" s="80"/>
      <c r="G315" s="28"/>
      <c r="H315" s="28"/>
      <c r="I315" s="28"/>
    </row>
    <row r="316">
      <c r="A316" s="80"/>
      <c r="G316" s="28"/>
      <c r="H316" s="28"/>
      <c r="I316" s="28"/>
    </row>
    <row r="317">
      <c r="A317" s="80"/>
      <c r="G317" s="28"/>
      <c r="H317" s="28"/>
      <c r="I317" s="28"/>
    </row>
    <row r="318">
      <c r="A318" s="80"/>
      <c r="G318" s="28"/>
      <c r="H318" s="28"/>
      <c r="I318" s="28"/>
    </row>
    <row r="319">
      <c r="A319" s="80"/>
      <c r="G319" s="28"/>
      <c r="H319" s="28"/>
      <c r="I319" s="28"/>
    </row>
    <row r="320">
      <c r="A320" s="80"/>
      <c r="G320" s="28"/>
      <c r="H320" s="28"/>
      <c r="I320" s="28"/>
    </row>
    <row r="321">
      <c r="A321" s="80"/>
      <c r="G321" s="28"/>
      <c r="H321" s="28"/>
      <c r="I321" s="28"/>
    </row>
    <row r="322">
      <c r="A322" s="80"/>
      <c r="G322" s="28"/>
      <c r="H322" s="28"/>
      <c r="I322" s="28"/>
    </row>
    <row r="323">
      <c r="A323" s="80"/>
      <c r="G323" s="28"/>
      <c r="H323" s="28"/>
      <c r="I323" s="28"/>
    </row>
    <row r="324">
      <c r="A324" s="80"/>
      <c r="G324" s="28"/>
      <c r="H324" s="28"/>
      <c r="I324" s="28"/>
    </row>
    <row r="325">
      <c r="A325" s="80"/>
      <c r="G325" s="28"/>
      <c r="H325" s="28"/>
      <c r="I325" s="28"/>
    </row>
    <row r="326">
      <c r="A326" s="80"/>
      <c r="G326" s="28"/>
      <c r="H326" s="28"/>
      <c r="I326" s="28"/>
    </row>
    <row r="327">
      <c r="A327" s="80"/>
      <c r="G327" s="28"/>
      <c r="H327" s="28"/>
      <c r="I327" s="28"/>
    </row>
    <row r="328">
      <c r="A328" s="80"/>
      <c r="G328" s="28"/>
      <c r="H328" s="28"/>
      <c r="I328" s="28"/>
    </row>
    <row r="329">
      <c r="A329" s="80"/>
      <c r="G329" s="28"/>
      <c r="H329" s="28"/>
      <c r="I329" s="28"/>
    </row>
    <row r="330">
      <c r="A330" s="80"/>
      <c r="G330" s="28"/>
      <c r="H330" s="28"/>
      <c r="I330" s="28"/>
    </row>
    <row r="331">
      <c r="A331" s="80"/>
      <c r="G331" s="28"/>
      <c r="H331" s="28"/>
      <c r="I331" s="28"/>
    </row>
    <row r="332">
      <c r="A332" s="80"/>
      <c r="G332" s="28"/>
      <c r="H332" s="28"/>
      <c r="I332" s="28"/>
    </row>
    <row r="333">
      <c r="A333" s="80"/>
      <c r="G333" s="28"/>
      <c r="H333" s="28"/>
      <c r="I333" s="28"/>
    </row>
    <row r="334">
      <c r="A334" s="80"/>
      <c r="G334" s="28"/>
      <c r="H334" s="28"/>
      <c r="I334" s="28"/>
    </row>
    <row r="335">
      <c r="A335" s="80"/>
      <c r="G335" s="28"/>
      <c r="H335" s="28"/>
      <c r="I335" s="28"/>
    </row>
    <row r="336">
      <c r="A336" s="80"/>
      <c r="G336" s="28"/>
      <c r="H336" s="28"/>
      <c r="I336" s="28"/>
    </row>
    <row r="337">
      <c r="A337" s="80"/>
      <c r="G337" s="28"/>
      <c r="H337" s="28"/>
      <c r="I337" s="28"/>
    </row>
    <row r="338">
      <c r="A338" s="80"/>
      <c r="G338" s="28"/>
      <c r="H338" s="28"/>
      <c r="I338" s="28"/>
    </row>
    <row r="339">
      <c r="A339" s="80"/>
      <c r="G339" s="28"/>
      <c r="H339" s="28"/>
      <c r="I339" s="28"/>
    </row>
    <row r="340">
      <c r="A340" s="80"/>
      <c r="G340" s="28"/>
      <c r="H340" s="28"/>
      <c r="I340" s="28"/>
    </row>
    <row r="341">
      <c r="A341" s="80"/>
      <c r="G341" s="28"/>
      <c r="H341" s="28"/>
      <c r="I341" s="28"/>
    </row>
    <row r="342">
      <c r="A342" s="80"/>
      <c r="G342" s="28"/>
      <c r="H342" s="28"/>
      <c r="I342" s="28"/>
    </row>
    <row r="343">
      <c r="A343" s="80"/>
      <c r="G343" s="28"/>
      <c r="H343" s="28"/>
      <c r="I343" s="28"/>
    </row>
    <row r="344">
      <c r="A344" s="80"/>
      <c r="G344" s="28"/>
      <c r="H344" s="28"/>
      <c r="I344" s="28"/>
    </row>
    <row r="345">
      <c r="A345" s="80"/>
      <c r="G345" s="28"/>
      <c r="H345" s="28"/>
      <c r="I345" s="28"/>
    </row>
    <row r="346">
      <c r="A346" s="80"/>
      <c r="G346" s="28"/>
      <c r="H346" s="28"/>
      <c r="I346" s="28"/>
    </row>
    <row r="347">
      <c r="A347" s="80"/>
      <c r="G347" s="28"/>
      <c r="H347" s="28"/>
      <c r="I347" s="28"/>
    </row>
    <row r="348">
      <c r="A348" s="80"/>
      <c r="G348" s="28"/>
      <c r="H348" s="28"/>
      <c r="I348" s="28"/>
    </row>
    <row r="349">
      <c r="A349" s="80"/>
      <c r="G349" s="28"/>
      <c r="H349" s="28"/>
      <c r="I349" s="28"/>
    </row>
    <row r="350">
      <c r="A350" s="80"/>
      <c r="G350" s="28"/>
      <c r="H350" s="28"/>
      <c r="I350" s="28"/>
    </row>
    <row r="351">
      <c r="A351" s="80"/>
      <c r="G351" s="28"/>
      <c r="H351" s="28"/>
      <c r="I351" s="28"/>
    </row>
    <row r="352">
      <c r="A352" s="80"/>
      <c r="G352" s="28"/>
      <c r="H352" s="28"/>
      <c r="I352" s="28"/>
    </row>
    <row r="353">
      <c r="A353" s="80"/>
      <c r="G353" s="28"/>
      <c r="H353" s="28"/>
      <c r="I353" s="28"/>
    </row>
    <row r="354">
      <c r="A354" s="80"/>
      <c r="G354" s="28"/>
      <c r="H354" s="28"/>
      <c r="I354" s="28"/>
    </row>
    <row r="355">
      <c r="A355" s="80"/>
      <c r="G355" s="28"/>
      <c r="H355" s="28"/>
      <c r="I355" s="28"/>
    </row>
    <row r="356">
      <c r="A356" s="80"/>
      <c r="G356" s="28"/>
      <c r="H356" s="28"/>
      <c r="I356" s="28"/>
    </row>
    <row r="357">
      <c r="A357" s="80"/>
      <c r="G357" s="28"/>
      <c r="H357" s="28"/>
      <c r="I357" s="28"/>
    </row>
    <row r="358">
      <c r="A358" s="80"/>
      <c r="G358" s="28"/>
      <c r="H358" s="28"/>
      <c r="I358" s="28"/>
    </row>
    <row r="359">
      <c r="A359" s="80"/>
      <c r="G359" s="28"/>
      <c r="H359" s="28"/>
      <c r="I359" s="28"/>
    </row>
    <row r="360">
      <c r="A360" s="80"/>
      <c r="G360" s="28"/>
      <c r="H360" s="28"/>
      <c r="I360" s="28"/>
    </row>
    <row r="361">
      <c r="A361" s="80"/>
      <c r="G361" s="28"/>
      <c r="H361" s="28"/>
      <c r="I361" s="28"/>
    </row>
    <row r="362">
      <c r="A362" s="80"/>
      <c r="G362" s="28"/>
      <c r="H362" s="28"/>
      <c r="I362" s="28"/>
    </row>
    <row r="363">
      <c r="A363" s="80"/>
      <c r="G363" s="28"/>
      <c r="H363" s="28"/>
      <c r="I363" s="28"/>
    </row>
    <row r="364">
      <c r="A364" s="80"/>
      <c r="G364" s="28"/>
      <c r="H364" s="28"/>
      <c r="I364" s="28"/>
    </row>
    <row r="365">
      <c r="A365" s="80"/>
      <c r="G365" s="28"/>
      <c r="H365" s="28"/>
      <c r="I365" s="28"/>
    </row>
    <row r="366">
      <c r="A366" s="80"/>
      <c r="G366" s="28"/>
      <c r="H366" s="28"/>
      <c r="I366" s="28"/>
    </row>
    <row r="367">
      <c r="A367" s="80"/>
      <c r="G367" s="28"/>
      <c r="H367" s="28"/>
      <c r="I367" s="28"/>
    </row>
    <row r="368">
      <c r="A368" s="80"/>
      <c r="G368" s="28"/>
      <c r="H368" s="28"/>
      <c r="I368" s="28"/>
    </row>
    <row r="369">
      <c r="A369" s="80"/>
      <c r="G369" s="28"/>
      <c r="H369" s="28"/>
      <c r="I369" s="28"/>
    </row>
    <row r="370">
      <c r="A370" s="80"/>
      <c r="G370" s="28"/>
      <c r="H370" s="28"/>
      <c r="I370" s="28"/>
    </row>
    <row r="371">
      <c r="A371" s="80"/>
      <c r="G371" s="28"/>
      <c r="H371" s="28"/>
      <c r="I371" s="28"/>
    </row>
    <row r="372">
      <c r="A372" s="80"/>
      <c r="G372" s="28"/>
      <c r="H372" s="28"/>
      <c r="I372" s="28"/>
    </row>
    <row r="373">
      <c r="A373" s="80"/>
      <c r="G373" s="28"/>
      <c r="H373" s="28"/>
      <c r="I373" s="28"/>
    </row>
    <row r="374">
      <c r="A374" s="80"/>
      <c r="G374" s="28"/>
      <c r="H374" s="28"/>
      <c r="I374" s="28"/>
    </row>
    <row r="375">
      <c r="A375" s="80"/>
      <c r="G375" s="28"/>
      <c r="H375" s="28"/>
      <c r="I375" s="28"/>
    </row>
    <row r="376">
      <c r="A376" s="80"/>
      <c r="G376" s="28"/>
      <c r="H376" s="28"/>
      <c r="I376" s="28"/>
    </row>
    <row r="377">
      <c r="A377" s="80"/>
      <c r="G377" s="28"/>
      <c r="H377" s="28"/>
      <c r="I377" s="28"/>
    </row>
    <row r="378">
      <c r="A378" s="80"/>
      <c r="G378" s="28"/>
      <c r="H378" s="28"/>
      <c r="I378" s="28"/>
    </row>
    <row r="379">
      <c r="A379" s="80"/>
      <c r="G379" s="28"/>
      <c r="H379" s="28"/>
      <c r="I379" s="28"/>
    </row>
    <row r="380">
      <c r="A380" s="80"/>
      <c r="G380" s="28"/>
      <c r="H380" s="28"/>
      <c r="I380" s="28"/>
    </row>
    <row r="381">
      <c r="A381" s="80"/>
      <c r="G381" s="28"/>
      <c r="H381" s="28"/>
      <c r="I381" s="28"/>
    </row>
    <row r="382">
      <c r="A382" s="80"/>
      <c r="G382" s="28"/>
      <c r="H382" s="28"/>
      <c r="I382" s="28"/>
    </row>
    <row r="383">
      <c r="A383" s="80"/>
      <c r="G383" s="28"/>
      <c r="H383" s="28"/>
      <c r="I383" s="28"/>
    </row>
    <row r="384">
      <c r="A384" s="80"/>
      <c r="G384" s="28"/>
      <c r="H384" s="28"/>
      <c r="I384" s="28"/>
    </row>
    <row r="385">
      <c r="A385" s="80"/>
      <c r="G385" s="28"/>
      <c r="H385" s="28"/>
      <c r="I385" s="28"/>
    </row>
    <row r="386">
      <c r="A386" s="80"/>
      <c r="G386" s="28"/>
      <c r="H386" s="28"/>
      <c r="I386" s="28"/>
    </row>
    <row r="387">
      <c r="A387" s="80"/>
      <c r="G387" s="28"/>
      <c r="H387" s="28"/>
      <c r="I387" s="28"/>
    </row>
    <row r="388">
      <c r="A388" s="80"/>
      <c r="G388" s="28"/>
      <c r="H388" s="28"/>
      <c r="I388" s="28"/>
    </row>
    <row r="389">
      <c r="A389" s="80"/>
      <c r="G389" s="28"/>
      <c r="H389" s="28"/>
      <c r="I389" s="28"/>
    </row>
    <row r="390">
      <c r="A390" s="80"/>
      <c r="G390" s="28"/>
      <c r="H390" s="28"/>
      <c r="I390" s="28"/>
    </row>
    <row r="391">
      <c r="A391" s="80"/>
      <c r="G391" s="28"/>
      <c r="H391" s="28"/>
      <c r="I391" s="28"/>
    </row>
    <row r="392">
      <c r="A392" s="80"/>
      <c r="G392" s="28"/>
      <c r="H392" s="28"/>
      <c r="I392" s="28"/>
    </row>
    <row r="393">
      <c r="A393" s="80"/>
      <c r="G393" s="28"/>
      <c r="H393" s="28"/>
      <c r="I393" s="28"/>
    </row>
    <row r="394">
      <c r="A394" s="80"/>
      <c r="G394" s="28"/>
      <c r="H394" s="28"/>
      <c r="I394" s="28"/>
    </row>
    <row r="395">
      <c r="A395" s="80"/>
      <c r="G395" s="28"/>
      <c r="H395" s="28"/>
      <c r="I395" s="28"/>
    </row>
    <row r="396">
      <c r="A396" s="80"/>
      <c r="G396" s="28"/>
      <c r="H396" s="28"/>
      <c r="I396" s="28"/>
    </row>
    <row r="397">
      <c r="A397" s="80"/>
      <c r="G397" s="28"/>
      <c r="H397" s="28"/>
      <c r="I397" s="28"/>
    </row>
    <row r="398">
      <c r="A398" s="80"/>
      <c r="G398" s="28"/>
      <c r="H398" s="28"/>
      <c r="I398" s="28"/>
    </row>
    <row r="399">
      <c r="A399" s="80"/>
      <c r="G399" s="28"/>
      <c r="H399" s="28"/>
      <c r="I399" s="28"/>
    </row>
    <row r="400">
      <c r="A400" s="80"/>
      <c r="G400" s="28"/>
      <c r="H400" s="28"/>
      <c r="I400" s="28"/>
    </row>
    <row r="401">
      <c r="A401" s="80"/>
      <c r="G401" s="28"/>
      <c r="H401" s="28"/>
      <c r="I401" s="28"/>
    </row>
    <row r="402">
      <c r="A402" s="80"/>
      <c r="G402" s="28"/>
      <c r="H402" s="28"/>
      <c r="I402" s="28"/>
    </row>
    <row r="403">
      <c r="A403" s="80"/>
      <c r="G403" s="28"/>
      <c r="H403" s="28"/>
      <c r="I403" s="28"/>
    </row>
    <row r="404">
      <c r="A404" s="80"/>
      <c r="G404" s="28"/>
      <c r="H404" s="28"/>
      <c r="I404" s="28"/>
    </row>
    <row r="405">
      <c r="A405" s="80"/>
      <c r="G405" s="28"/>
      <c r="H405" s="28"/>
      <c r="I405" s="28"/>
    </row>
    <row r="406">
      <c r="A406" s="80"/>
      <c r="G406" s="28"/>
      <c r="H406" s="28"/>
      <c r="I406" s="28"/>
    </row>
    <row r="407">
      <c r="A407" s="80"/>
      <c r="G407" s="28"/>
      <c r="H407" s="28"/>
      <c r="I407" s="28"/>
    </row>
    <row r="408">
      <c r="A408" s="80"/>
      <c r="G408" s="28"/>
      <c r="H408" s="28"/>
      <c r="I408" s="28"/>
    </row>
    <row r="409">
      <c r="A409" s="80"/>
      <c r="G409" s="28"/>
      <c r="H409" s="28"/>
      <c r="I409" s="28"/>
    </row>
    <row r="410">
      <c r="A410" s="80"/>
      <c r="G410" s="28"/>
      <c r="H410" s="28"/>
      <c r="I410" s="28"/>
    </row>
    <row r="411">
      <c r="A411" s="80"/>
      <c r="G411" s="28"/>
      <c r="H411" s="28"/>
      <c r="I411" s="28"/>
    </row>
    <row r="412">
      <c r="A412" s="80"/>
      <c r="G412" s="28"/>
      <c r="H412" s="28"/>
      <c r="I412" s="28"/>
    </row>
    <row r="413">
      <c r="A413" s="80"/>
      <c r="G413" s="28"/>
      <c r="H413" s="28"/>
      <c r="I413" s="28"/>
    </row>
    <row r="414">
      <c r="A414" s="80"/>
      <c r="G414" s="28"/>
      <c r="H414" s="28"/>
      <c r="I414" s="28"/>
    </row>
    <row r="415">
      <c r="A415" s="80"/>
      <c r="G415" s="28"/>
      <c r="H415" s="28"/>
      <c r="I415" s="28"/>
    </row>
    <row r="416">
      <c r="A416" s="80"/>
      <c r="G416" s="28"/>
      <c r="H416" s="28"/>
      <c r="I416" s="28"/>
    </row>
    <row r="417">
      <c r="A417" s="80"/>
      <c r="G417" s="28"/>
      <c r="H417" s="28"/>
      <c r="I417" s="28"/>
    </row>
    <row r="418">
      <c r="A418" s="80"/>
      <c r="G418" s="28"/>
      <c r="H418" s="28"/>
      <c r="I418" s="28"/>
    </row>
    <row r="419">
      <c r="A419" s="80"/>
      <c r="G419" s="28"/>
      <c r="H419" s="28"/>
      <c r="I419" s="28"/>
    </row>
    <row r="420">
      <c r="A420" s="80"/>
      <c r="G420" s="28"/>
      <c r="H420" s="28"/>
      <c r="I420" s="28"/>
    </row>
    <row r="421">
      <c r="A421" s="80"/>
      <c r="G421" s="28"/>
      <c r="H421" s="28"/>
      <c r="I421" s="28"/>
    </row>
    <row r="422">
      <c r="A422" s="80"/>
      <c r="G422" s="28"/>
      <c r="H422" s="28"/>
      <c r="I422" s="28"/>
    </row>
    <row r="423">
      <c r="A423" s="80"/>
      <c r="G423" s="28"/>
      <c r="H423" s="28"/>
      <c r="I423" s="28"/>
    </row>
    <row r="424">
      <c r="A424" s="80"/>
      <c r="G424" s="28"/>
      <c r="H424" s="28"/>
      <c r="I424" s="28"/>
    </row>
    <row r="425">
      <c r="A425" s="80"/>
      <c r="G425" s="28"/>
      <c r="H425" s="28"/>
      <c r="I425" s="28"/>
    </row>
    <row r="426">
      <c r="A426" s="80"/>
      <c r="G426" s="28"/>
      <c r="H426" s="28"/>
      <c r="I426" s="28"/>
    </row>
    <row r="427">
      <c r="A427" s="80"/>
      <c r="G427" s="28"/>
      <c r="H427" s="28"/>
      <c r="I427" s="28"/>
    </row>
    <row r="428">
      <c r="A428" s="80"/>
      <c r="G428" s="28"/>
      <c r="H428" s="28"/>
      <c r="I428" s="28"/>
    </row>
    <row r="429">
      <c r="A429" s="80"/>
      <c r="G429" s="28"/>
      <c r="H429" s="28"/>
      <c r="I429" s="28"/>
    </row>
    <row r="430">
      <c r="A430" s="80"/>
      <c r="G430" s="28"/>
      <c r="H430" s="28"/>
      <c r="I430" s="28"/>
    </row>
    <row r="431">
      <c r="A431" s="80"/>
      <c r="G431" s="28"/>
      <c r="H431" s="28"/>
      <c r="I431" s="28"/>
    </row>
    <row r="432">
      <c r="A432" s="80"/>
      <c r="G432" s="28"/>
      <c r="H432" s="28"/>
      <c r="I432" s="28"/>
    </row>
    <row r="433">
      <c r="A433" s="80"/>
      <c r="G433" s="28"/>
      <c r="H433" s="28"/>
      <c r="I433" s="28"/>
    </row>
    <row r="434">
      <c r="A434" s="80"/>
      <c r="G434" s="28"/>
      <c r="H434" s="28"/>
      <c r="I434" s="28"/>
    </row>
    <row r="435">
      <c r="A435" s="80"/>
      <c r="G435" s="28"/>
      <c r="H435" s="28"/>
      <c r="I435" s="28"/>
    </row>
    <row r="436">
      <c r="A436" s="80"/>
      <c r="G436" s="28"/>
      <c r="H436" s="28"/>
      <c r="I436" s="28"/>
    </row>
    <row r="437">
      <c r="A437" s="80"/>
      <c r="G437" s="28"/>
      <c r="H437" s="28"/>
      <c r="I437" s="28"/>
    </row>
    <row r="438">
      <c r="A438" s="80"/>
      <c r="G438" s="28"/>
      <c r="H438" s="28"/>
      <c r="I438" s="28"/>
    </row>
    <row r="439">
      <c r="A439" s="80"/>
      <c r="G439" s="28"/>
      <c r="H439" s="28"/>
      <c r="I439" s="28"/>
    </row>
    <row r="440">
      <c r="A440" s="80"/>
      <c r="G440" s="28"/>
      <c r="H440" s="28"/>
      <c r="I440" s="28"/>
    </row>
    <row r="441">
      <c r="A441" s="80"/>
      <c r="G441" s="28"/>
      <c r="H441" s="28"/>
      <c r="I441" s="28"/>
    </row>
    <row r="442">
      <c r="A442" s="80"/>
      <c r="G442" s="28"/>
      <c r="H442" s="28"/>
      <c r="I442" s="28"/>
    </row>
    <row r="443">
      <c r="A443" s="80"/>
      <c r="G443" s="28"/>
      <c r="H443" s="28"/>
      <c r="I443" s="28"/>
    </row>
    <row r="444">
      <c r="A444" s="80"/>
      <c r="G444" s="28"/>
      <c r="H444" s="28"/>
      <c r="I444" s="28"/>
    </row>
    <row r="445">
      <c r="A445" s="80"/>
      <c r="G445" s="28"/>
      <c r="H445" s="28"/>
      <c r="I445" s="28"/>
    </row>
    <row r="446">
      <c r="A446" s="80"/>
      <c r="G446" s="28"/>
      <c r="H446" s="28"/>
      <c r="I446" s="28"/>
    </row>
    <row r="447">
      <c r="A447" s="80"/>
      <c r="G447" s="28"/>
      <c r="H447" s="28"/>
      <c r="I447" s="28"/>
    </row>
    <row r="448">
      <c r="A448" s="80"/>
      <c r="G448" s="28"/>
      <c r="H448" s="28"/>
      <c r="I448" s="28"/>
    </row>
    <row r="449">
      <c r="A449" s="80"/>
      <c r="G449" s="28"/>
      <c r="H449" s="28"/>
      <c r="I449" s="28"/>
    </row>
    <row r="450">
      <c r="A450" s="80"/>
      <c r="G450" s="28"/>
      <c r="H450" s="28"/>
      <c r="I450" s="28"/>
    </row>
    <row r="451">
      <c r="A451" s="80"/>
      <c r="G451" s="28"/>
      <c r="H451" s="28"/>
      <c r="I451" s="28"/>
    </row>
    <row r="452">
      <c r="A452" s="80"/>
      <c r="G452" s="28"/>
      <c r="H452" s="28"/>
      <c r="I452" s="28"/>
    </row>
    <row r="453">
      <c r="A453" s="80"/>
      <c r="G453" s="28"/>
      <c r="H453" s="28"/>
      <c r="I453" s="28"/>
    </row>
    <row r="454">
      <c r="A454" s="80"/>
      <c r="G454" s="28"/>
      <c r="H454" s="28"/>
      <c r="I454" s="28"/>
    </row>
    <row r="455">
      <c r="A455" s="80"/>
      <c r="G455" s="28"/>
      <c r="H455" s="28"/>
      <c r="I455" s="28"/>
    </row>
    <row r="456">
      <c r="A456" s="80"/>
      <c r="G456" s="28"/>
      <c r="H456" s="28"/>
      <c r="I456" s="28"/>
    </row>
    <row r="457">
      <c r="A457" s="80"/>
      <c r="G457" s="28"/>
      <c r="H457" s="28"/>
      <c r="I457" s="28"/>
    </row>
    <row r="458">
      <c r="A458" s="80"/>
      <c r="G458" s="28"/>
      <c r="H458" s="28"/>
      <c r="I458" s="28"/>
    </row>
    <row r="459">
      <c r="A459" s="80"/>
      <c r="G459" s="28"/>
      <c r="H459" s="28"/>
      <c r="I459" s="28"/>
    </row>
    <row r="460">
      <c r="A460" s="80"/>
      <c r="G460" s="28"/>
      <c r="H460" s="28"/>
      <c r="I460" s="28"/>
    </row>
    <row r="461">
      <c r="A461" s="80"/>
      <c r="G461" s="28"/>
      <c r="H461" s="28"/>
      <c r="I461" s="28"/>
    </row>
    <row r="462">
      <c r="A462" s="80"/>
      <c r="G462" s="28"/>
      <c r="H462" s="28"/>
      <c r="I462" s="28"/>
    </row>
    <row r="463">
      <c r="A463" s="80"/>
      <c r="G463" s="28"/>
      <c r="H463" s="28"/>
      <c r="I463" s="28"/>
    </row>
    <row r="464">
      <c r="A464" s="80"/>
      <c r="G464" s="28"/>
      <c r="H464" s="28"/>
      <c r="I464" s="28"/>
    </row>
    <row r="465">
      <c r="A465" s="80"/>
      <c r="G465" s="28"/>
      <c r="H465" s="28"/>
      <c r="I465" s="28"/>
    </row>
    <row r="466">
      <c r="A466" s="80"/>
      <c r="G466" s="28"/>
      <c r="H466" s="28"/>
      <c r="I466" s="28"/>
    </row>
    <row r="467">
      <c r="A467" s="80"/>
      <c r="G467" s="28"/>
      <c r="H467" s="28"/>
      <c r="I467" s="28"/>
    </row>
    <row r="468">
      <c r="A468" s="80"/>
      <c r="G468" s="28"/>
      <c r="H468" s="28"/>
      <c r="I468" s="28"/>
    </row>
    <row r="469">
      <c r="A469" s="80"/>
      <c r="G469" s="28"/>
      <c r="H469" s="28"/>
      <c r="I469" s="28"/>
    </row>
    <row r="470">
      <c r="A470" s="80"/>
      <c r="G470" s="28"/>
      <c r="H470" s="28"/>
      <c r="I470" s="28"/>
    </row>
    <row r="471">
      <c r="A471" s="80"/>
      <c r="G471" s="28"/>
      <c r="H471" s="28"/>
      <c r="I471" s="28"/>
    </row>
    <row r="472">
      <c r="A472" s="80"/>
      <c r="G472" s="28"/>
      <c r="H472" s="28"/>
      <c r="I472" s="28"/>
    </row>
    <row r="473">
      <c r="A473" s="80"/>
      <c r="G473" s="28"/>
      <c r="H473" s="28"/>
      <c r="I473" s="28"/>
    </row>
    <row r="474">
      <c r="A474" s="80"/>
      <c r="G474" s="28"/>
      <c r="H474" s="28"/>
      <c r="I474" s="28"/>
    </row>
    <row r="475">
      <c r="A475" s="80"/>
      <c r="G475" s="28"/>
      <c r="H475" s="28"/>
      <c r="I475" s="28"/>
    </row>
    <row r="476">
      <c r="A476" s="80"/>
      <c r="G476" s="28"/>
      <c r="H476" s="28"/>
      <c r="I476" s="28"/>
    </row>
    <row r="477">
      <c r="A477" s="80"/>
      <c r="G477" s="28"/>
      <c r="H477" s="28"/>
      <c r="I477" s="28"/>
    </row>
    <row r="478">
      <c r="A478" s="80"/>
      <c r="G478" s="28"/>
      <c r="H478" s="28"/>
      <c r="I478" s="28"/>
    </row>
    <row r="479">
      <c r="A479" s="80"/>
      <c r="G479" s="28"/>
      <c r="H479" s="28"/>
      <c r="I479" s="28"/>
    </row>
    <row r="480">
      <c r="A480" s="80"/>
      <c r="G480" s="28"/>
      <c r="H480" s="28"/>
      <c r="I480" s="28"/>
    </row>
    <row r="481">
      <c r="A481" s="80"/>
      <c r="G481" s="28"/>
      <c r="H481" s="28"/>
      <c r="I481" s="28"/>
    </row>
    <row r="482">
      <c r="A482" s="80"/>
      <c r="G482" s="28"/>
      <c r="H482" s="28"/>
      <c r="I482" s="28"/>
    </row>
    <row r="483">
      <c r="A483" s="80"/>
      <c r="G483" s="28"/>
      <c r="H483" s="28"/>
      <c r="I483" s="28"/>
    </row>
    <row r="484">
      <c r="A484" s="80"/>
      <c r="G484" s="28"/>
      <c r="H484" s="28"/>
      <c r="I484" s="28"/>
    </row>
    <row r="485">
      <c r="A485" s="80"/>
      <c r="G485" s="28"/>
      <c r="H485" s="28"/>
      <c r="I485" s="28"/>
    </row>
    <row r="486">
      <c r="A486" s="80"/>
      <c r="G486" s="28"/>
      <c r="H486" s="28"/>
      <c r="I486" s="28"/>
    </row>
    <row r="487">
      <c r="A487" s="80"/>
      <c r="G487" s="28"/>
      <c r="H487" s="28"/>
      <c r="I487" s="28"/>
    </row>
    <row r="488">
      <c r="A488" s="80"/>
      <c r="G488" s="28"/>
      <c r="H488" s="28"/>
      <c r="I488" s="28"/>
    </row>
    <row r="489">
      <c r="A489" s="80"/>
      <c r="G489" s="28"/>
      <c r="H489" s="28"/>
      <c r="I489" s="28"/>
    </row>
    <row r="490">
      <c r="A490" s="80"/>
      <c r="G490" s="28"/>
      <c r="H490" s="28"/>
      <c r="I490" s="28"/>
    </row>
    <row r="491">
      <c r="A491" s="80"/>
      <c r="G491" s="28"/>
      <c r="H491" s="28"/>
      <c r="I491" s="28"/>
    </row>
    <row r="492">
      <c r="A492" s="80"/>
      <c r="G492" s="28"/>
      <c r="H492" s="28"/>
      <c r="I492" s="28"/>
    </row>
    <row r="493">
      <c r="A493" s="80"/>
      <c r="G493" s="28"/>
      <c r="H493" s="28"/>
      <c r="I493" s="28"/>
    </row>
    <row r="494">
      <c r="A494" s="80"/>
      <c r="G494" s="28"/>
      <c r="H494" s="28"/>
      <c r="I494" s="28"/>
    </row>
    <row r="495">
      <c r="A495" s="80"/>
      <c r="G495" s="28"/>
      <c r="H495" s="28"/>
      <c r="I495" s="28"/>
    </row>
    <row r="496">
      <c r="A496" s="80"/>
      <c r="G496" s="28"/>
      <c r="H496" s="28"/>
      <c r="I496" s="28"/>
    </row>
    <row r="497">
      <c r="A497" s="80"/>
      <c r="G497" s="28"/>
      <c r="H497" s="28"/>
      <c r="I497" s="28"/>
    </row>
    <row r="498">
      <c r="A498" s="80"/>
      <c r="G498" s="28"/>
      <c r="H498" s="28"/>
      <c r="I498" s="28"/>
    </row>
    <row r="499">
      <c r="A499" s="80"/>
      <c r="G499" s="28"/>
      <c r="H499" s="28"/>
      <c r="I499" s="28"/>
    </row>
    <row r="500">
      <c r="A500" s="80"/>
      <c r="G500" s="28"/>
      <c r="H500" s="28"/>
      <c r="I500" s="28"/>
    </row>
    <row r="501">
      <c r="A501" s="80"/>
      <c r="G501" s="28"/>
      <c r="H501" s="28"/>
      <c r="I501" s="28"/>
    </row>
    <row r="502">
      <c r="A502" s="80"/>
      <c r="G502" s="28"/>
      <c r="H502" s="28"/>
      <c r="I502" s="28"/>
    </row>
    <row r="503">
      <c r="A503" s="80"/>
      <c r="G503" s="28"/>
      <c r="H503" s="28"/>
      <c r="I503" s="28"/>
    </row>
    <row r="504">
      <c r="A504" s="80"/>
      <c r="G504" s="28"/>
      <c r="H504" s="28"/>
      <c r="I504" s="28"/>
    </row>
    <row r="505">
      <c r="A505" s="80"/>
      <c r="G505" s="28"/>
      <c r="H505" s="28"/>
      <c r="I505" s="28"/>
    </row>
    <row r="506">
      <c r="A506" s="80"/>
      <c r="G506" s="28"/>
      <c r="H506" s="28"/>
      <c r="I506" s="28"/>
    </row>
    <row r="507">
      <c r="A507" s="80"/>
      <c r="G507" s="28"/>
      <c r="H507" s="28"/>
      <c r="I507" s="28"/>
    </row>
    <row r="508">
      <c r="A508" s="80"/>
      <c r="G508" s="28"/>
      <c r="H508" s="28"/>
      <c r="I508" s="28"/>
    </row>
    <row r="509">
      <c r="A509" s="80"/>
      <c r="G509" s="28"/>
      <c r="H509" s="28"/>
      <c r="I509" s="28"/>
    </row>
    <row r="510">
      <c r="A510" s="80"/>
      <c r="G510" s="28"/>
      <c r="H510" s="28"/>
      <c r="I510" s="28"/>
    </row>
    <row r="511">
      <c r="A511" s="80"/>
      <c r="G511" s="28"/>
      <c r="H511" s="28"/>
      <c r="I511" s="28"/>
    </row>
    <row r="512">
      <c r="A512" s="80"/>
      <c r="G512" s="28"/>
      <c r="H512" s="28"/>
      <c r="I512" s="28"/>
    </row>
    <row r="513">
      <c r="A513" s="80"/>
      <c r="G513" s="28"/>
      <c r="H513" s="28"/>
      <c r="I513" s="28"/>
    </row>
    <row r="514">
      <c r="A514" s="80"/>
      <c r="G514" s="28"/>
      <c r="H514" s="28"/>
      <c r="I514" s="28"/>
    </row>
    <row r="515">
      <c r="A515" s="80"/>
      <c r="G515" s="28"/>
      <c r="H515" s="28"/>
      <c r="I515" s="28"/>
    </row>
    <row r="516">
      <c r="A516" s="80"/>
      <c r="G516" s="28"/>
      <c r="H516" s="28"/>
      <c r="I516" s="28"/>
    </row>
    <row r="517">
      <c r="A517" s="80"/>
      <c r="G517" s="28"/>
      <c r="H517" s="28"/>
      <c r="I517" s="28"/>
    </row>
    <row r="518">
      <c r="A518" s="80"/>
      <c r="G518" s="28"/>
      <c r="H518" s="28"/>
      <c r="I518" s="28"/>
    </row>
    <row r="519">
      <c r="A519" s="80"/>
      <c r="G519" s="28"/>
      <c r="H519" s="28"/>
      <c r="I519" s="28"/>
    </row>
    <row r="520">
      <c r="A520" s="80"/>
      <c r="G520" s="28"/>
      <c r="H520" s="28"/>
      <c r="I520" s="28"/>
    </row>
    <row r="521">
      <c r="A521" s="80"/>
      <c r="G521" s="28"/>
      <c r="H521" s="28"/>
      <c r="I521" s="28"/>
    </row>
    <row r="522">
      <c r="A522" s="80"/>
      <c r="G522" s="28"/>
      <c r="H522" s="28"/>
      <c r="I522" s="28"/>
    </row>
    <row r="523">
      <c r="A523" s="80"/>
      <c r="G523" s="28"/>
      <c r="H523" s="28"/>
      <c r="I523" s="28"/>
    </row>
    <row r="524">
      <c r="A524" s="80"/>
      <c r="G524" s="28"/>
      <c r="H524" s="28"/>
      <c r="I524" s="28"/>
    </row>
    <row r="525">
      <c r="A525" s="80"/>
      <c r="G525" s="28"/>
      <c r="H525" s="28"/>
      <c r="I525" s="28"/>
    </row>
    <row r="526">
      <c r="A526" s="80"/>
      <c r="G526" s="28"/>
      <c r="H526" s="28"/>
      <c r="I526" s="28"/>
    </row>
    <row r="527">
      <c r="A527" s="80"/>
      <c r="G527" s="28"/>
      <c r="H527" s="28"/>
      <c r="I527" s="28"/>
    </row>
    <row r="528">
      <c r="A528" s="80"/>
      <c r="G528" s="28"/>
      <c r="H528" s="28"/>
      <c r="I528" s="28"/>
    </row>
    <row r="529">
      <c r="A529" s="80"/>
      <c r="G529" s="28"/>
      <c r="H529" s="28"/>
      <c r="I529" s="28"/>
    </row>
    <row r="530">
      <c r="A530" s="80"/>
      <c r="G530" s="28"/>
      <c r="H530" s="28"/>
      <c r="I530" s="28"/>
    </row>
    <row r="531">
      <c r="A531" s="80"/>
      <c r="G531" s="28"/>
      <c r="H531" s="28"/>
      <c r="I531" s="28"/>
    </row>
    <row r="532">
      <c r="A532" s="80"/>
      <c r="G532" s="28"/>
      <c r="H532" s="28"/>
      <c r="I532" s="28"/>
    </row>
    <row r="533">
      <c r="A533" s="80"/>
      <c r="G533" s="28"/>
      <c r="H533" s="28"/>
      <c r="I533" s="28"/>
    </row>
    <row r="534">
      <c r="A534" s="80"/>
      <c r="G534" s="28"/>
      <c r="H534" s="28"/>
      <c r="I534" s="28"/>
    </row>
    <row r="535">
      <c r="A535" s="80"/>
      <c r="G535" s="28"/>
      <c r="H535" s="28"/>
      <c r="I535" s="28"/>
    </row>
    <row r="536">
      <c r="A536" s="80"/>
      <c r="G536" s="28"/>
      <c r="H536" s="28"/>
      <c r="I536" s="28"/>
    </row>
    <row r="537">
      <c r="A537" s="80"/>
      <c r="G537" s="28"/>
      <c r="H537" s="28"/>
      <c r="I537" s="28"/>
    </row>
    <row r="538">
      <c r="A538" s="80"/>
      <c r="G538" s="28"/>
      <c r="H538" s="28"/>
      <c r="I538" s="28"/>
    </row>
    <row r="539">
      <c r="A539" s="80"/>
      <c r="G539" s="28"/>
      <c r="H539" s="28"/>
      <c r="I539" s="28"/>
    </row>
    <row r="540">
      <c r="A540" s="80"/>
      <c r="G540" s="28"/>
      <c r="H540" s="28"/>
      <c r="I540" s="28"/>
    </row>
    <row r="541">
      <c r="A541" s="80"/>
      <c r="G541" s="28"/>
      <c r="H541" s="28"/>
      <c r="I541" s="28"/>
    </row>
    <row r="542">
      <c r="A542" s="80"/>
      <c r="G542" s="28"/>
      <c r="H542" s="28"/>
      <c r="I542" s="28"/>
    </row>
    <row r="543">
      <c r="A543" s="80"/>
      <c r="G543" s="28"/>
      <c r="H543" s="28"/>
      <c r="I543" s="28"/>
    </row>
    <row r="544">
      <c r="A544" s="80"/>
      <c r="G544" s="28"/>
      <c r="H544" s="28"/>
      <c r="I544" s="28"/>
    </row>
    <row r="545">
      <c r="A545" s="80"/>
      <c r="G545" s="28"/>
      <c r="H545" s="28"/>
      <c r="I545" s="28"/>
    </row>
    <row r="546">
      <c r="A546" s="80"/>
      <c r="G546" s="28"/>
      <c r="H546" s="28"/>
      <c r="I546" s="28"/>
    </row>
    <row r="547">
      <c r="A547" s="80"/>
      <c r="G547" s="28"/>
      <c r="H547" s="28"/>
      <c r="I547" s="28"/>
    </row>
    <row r="548">
      <c r="A548" s="80"/>
      <c r="G548" s="28"/>
      <c r="H548" s="28"/>
      <c r="I548" s="28"/>
    </row>
    <row r="549">
      <c r="A549" s="80"/>
      <c r="G549" s="28"/>
      <c r="H549" s="28"/>
      <c r="I549" s="28"/>
    </row>
    <row r="550">
      <c r="A550" s="80"/>
      <c r="G550" s="28"/>
      <c r="H550" s="28"/>
      <c r="I550" s="28"/>
    </row>
    <row r="551">
      <c r="A551" s="80"/>
      <c r="G551" s="28"/>
      <c r="H551" s="28"/>
      <c r="I551" s="28"/>
    </row>
    <row r="552">
      <c r="A552" s="80"/>
      <c r="G552" s="28"/>
      <c r="H552" s="28"/>
      <c r="I552" s="28"/>
    </row>
    <row r="553">
      <c r="A553" s="80"/>
      <c r="G553" s="28"/>
      <c r="H553" s="28"/>
      <c r="I553" s="28"/>
    </row>
    <row r="554">
      <c r="A554" s="80"/>
      <c r="G554" s="28"/>
      <c r="H554" s="28"/>
      <c r="I554" s="28"/>
    </row>
    <row r="555">
      <c r="A555" s="80"/>
      <c r="G555" s="28"/>
      <c r="H555" s="28"/>
      <c r="I555" s="28"/>
    </row>
    <row r="556">
      <c r="A556" s="80"/>
      <c r="G556" s="28"/>
      <c r="H556" s="28"/>
      <c r="I556" s="28"/>
    </row>
    <row r="557">
      <c r="A557" s="80"/>
      <c r="G557" s="28"/>
      <c r="H557" s="28"/>
      <c r="I557" s="28"/>
    </row>
    <row r="558">
      <c r="A558" s="80"/>
      <c r="G558" s="28"/>
      <c r="H558" s="28"/>
      <c r="I558" s="28"/>
    </row>
    <row r="559">
      <c r="A559" s="80"/>
      <c r="G559" s="28"/>
      <c r="H559" s="28"/>
      <c r="I559" s="28"/>
    </row>
    <row r="560">
      <c r="A560" s="80"/>
      <c r="G560" s="28"/>
      <c r="H560" s="28"/>
      <c r="I560" s="28"/>
    </row>
    <row r="561">
      <c r="A561" s="80"/>
      <c r="G561" s="28"/>
      <c r="H561" s="28"/>
      <c r="I561" s="28"/>
    </row>
    <row r="562">
      <c r="A562" s="80"/>
      <c r="G562" s="28"/>
      <c r="H562" s="28"/>
      <c r="I562" s="28"/>
    </row>
    <row r="563">
      <c r="A563" s="80"/>
      <c r="G563" s="28"/>
      <c r="H563" s="28"/>
      <c r="I563" s="28"/>
    </row>
    <row r="564">
      <c r="A564" s="80"/>
      <c r="G564" s="28"/>
      <c r="H564" s="28"/>
      <c r="I564" s="28"/>
    </row>
    <row r="565">
      <c r="A565" s="80"/>
      <c r="G565" s="28"/>
      <c r="H565" s="28"/>
      <c r="I565" s="28"/>
    </row>
    <row r="566">
      <c r="A566" s="80"/>
      <c r="G566" s="28"/>
      <c r="H566" s="28"/>
      <c r="I566" s="28"/>
    </row>
    <row r="567">
      <c r="A567" s="80"/>
      <c r="G567" s="28"/>
      <c r="H567" s="28"/>
      <c r="I567" s="28"/>
    </row>
    <row r="568">
      <c r="A568" s="80"/>
      <c r="G568" s="28"/>
      <c r="H568" s="28"/>
      <c r="I568" s="28"/>
    </row>
    <row r="569">
      <c r="A569" s="80"/>
      <c r="G569" s="28"/>
      <c r="H569" s="28"/>
      <c r="I569" s="28"/>
    </row>
    <row r="570">
      <c r="A570" s="80"/>
      <c r="G570" s="28"/>
      <c r="H570" s="28"/>
      <c r="I570" s="28"/>
    </row>
    <row r="571">
      <c r="A571" s="80"/>
      <c r="G571" s="28"/>
      <c r="H571" s="28"/>
      <c r="I571" s="28"/>
    </row>
    <row r="572">
      <c r="A572" s="80"/>
      <c r="G572" s="28"/>
      <c r="H572" s="28"/>
      <c r="I572" s="28"/>
    </row>
    <row r="573">
      <c r="A573" s="80"/>
      <c r="G573" s="28"/>
      <c r="H573" s="28"/>
      <c r="I573" s="28"/>
    </row>
    <row r="574">
      <c r="A574" s="80"/>
      <c r="G574" s="28"/>
      <c r="H574" s="28"/>
      <c r="I574" s="28"/>
    </row>
    <row r="575">
      <c r="A575" s="80"/>
      <c r="G575" s="28"/>
      <c r="H575" s="28"/>
      <c r="I575" s="28"/>
    </row>
    <row r="576">
      <c r="A576" s="80"/>
      <c r="G576" s="28"/>
      <c r="H576" s="28"/>
      <c r="I576" s="28"/>
    </row>
    <row r="577">
      <c r="A577" s="80"/>
      <c r="G577" s="28"/>
      <c r="H577" s="28"/>
      <c r="I577" s="28"/>
    </row>
    <row r="578">
      <c r="A578" s="80"/>
      <c r="G578" s="28"/>
      <c r="H578" s="28"/>
      <c r="I578" s="28"/>
    </row>
    <row r="579">
      <c r="A579" s="80"/>
      <c r="G579" s="28"/>
      <c r="H579" s="28"/>
      <c r="I579" s="28"/>
    </row>
    <row r="580">
      <c r="A580" s="80"/>
      <c r="G580" s="28"/>
      <c r="H580" s="28"/>
      <c r="I580" s="28"/>
    </row>
    <row r="581">
      <c r="A581" s="80"/>
      <c r="G581" s="28"/>
      <c r="H581" s="28"/>
      <c r="I581" s="28"/>
    </row>
    <row r="582">
      <c r="A582" s="80"/>
      <c r="G582" s="28"/>
      <c r="H582" s="28"/>
      <c r="I582" s="28"/>
    </row>
    <row r="583">
      <c r="A583" s="80"/>
      <c r="G583" s="28"/>
      <c r="H583" s="28"/>
      <c r="I583" s="28"/>
    </row>
    <row r="584">
      <c r="A584" s="80"/>
      <c r="G584" s="28"/>
      <c r="H584" s="28"/>
      <c r="I584" s="28"/>
    </row>
    <row r="585">
      <c r="A585" s="80"/>
      <c r="G585" s="28"/>
      <c r="H585" s="28"/>
      <c r="I585" s="28"/>
    </row>
    <row r="586">
      <c r="A586" s="80"/>
      <c r="G586" s="28"/>
      <c r="H586" s="28"/>
      <c r="I586" s="28"/>
    </row>
    <row r="587">
      <c r="A587" s="80"/>
      <c r="G587" s="28"/>
      <c r="H587" s="28"/>
      <c r="I587" s="28"/>
    </row>
    <row r="588">
      <c r="A588" s="80"/>
      <c r="G588" s="28"/>
      <c r="H588" s="28"/>
      <c r="I588" s="28"/>
    </row>
    <row r="589">
      <c r="A589" s="80"/>
      <c r="G589" s="28"/>
      <c r="H589" s="28"/>
      <c r="I589" s="28"/>
    </row>
    <row r="590">
      <c r="A590" s="80"/>
      <c r="G590" s="28"/>
      <c r="H590" s="28"/>
      <c r="I590" s="28"/>
    </row>
    <row r="591">
      <c r="A591" s="80"/>
      <c r="G591" s="28"/>
      <c r="H591" s="28"/>
      <c r="I591" s="28"/>
    </row>
    <row r="592">
      <c r="A592" s="80"/>
      <c r="G592" s="28"/>
      <c r="H592" s="28"/>
      <c r="I592" s="28"/>
    </row>
    <row r="593">
      <c r="A593" s="80"/>
      <c r="G593" s="28"/>
      <c r="H593" s="28"/>
      <c r="I593" s="28"/>
    </row>
    <row r="594">
      <c r="A594" s="80"/>
      <c r="G594" s="28"/>
      <c r="H594" s="28"/>
      <c r="I594" s="28"/>
    </row>
    <row r="595">
      <c r="A595" s="80"/>
      <c r="G595" s="28"/>
      <c r="H595" s="28"/>
      <c r="I595" s="28"/>
    </row>
    <row r="596">
      <c r="A596" s="80"/>
      <c r="G596" s="28"/>
      <c r="H596" s="28"/>
      <c r="I596" s="28"/>
    </row>
    <row r="597">
      <c r="A597" s="80"/>
      <c r="G597" s="28"/>
      <c r="H597" s="28"/>
      <c r="I597" s="28"/>
    </row>
    <row r="598">
      <c r="A598" s="80"/>
      <c r="G598" s="28"/>
      <c r="H598" s="28"/>
      <c r="I598" s="28"/>
    </row>
    <row r="599">
      <c r="A599" s="80"/>
      <c r="G599" s="28"/>
      <c r="H599" s="28"/>
      <c r="I599" s="28"/>
    </row>
    <row r="600">
      <c r="A600" s="80"/>
      <c r="G600" s="28"/>
      <c r="H600" s="28"/>
      <c r="I600" s="28"/>
    </row>
    <row r="601">
      <c r="A601" s="80"/>
      <c r="G601" s="28"/>
      <c r="H601" s="28"/>
      <c r="I601" s="28"/>
    </row>
    <row r="602">
      <c r="A602" s="80"/>
      <c r="G602" s="28"/>
      <c r="H602" s="28"/>
      <c r="I602" s="28"/>
    </row>
    <row r="603">
      <c r="A603" s="80"/>
      <c r="G603" s="28"/>
      <c r="H603" s="28"/>
      <c r="I603" s="28"/>
    </row>
    <row r="604">
      <c r="A604" s="80"/>
      <c r="G604" s="28"/>
      <c r="H604" s="28"/>
      <c r="I604" s="28"/>
    </row>
    <row r="605">
      <c r="A605" s="80"/>
      <c r="G605" s="28"/>
      <c r="H605" s="28"/>
      <c r="I605" s="28"/>
    </row>
    <row r="606">
      <c r="A606" s="80"/>
      <c r="G606" s="28"/>
      <c r="H606" s="28"/>
      <c r="I606" s="28"/>
    </row>
    <row r="607">
      <c r="A607" s="80"/>
      <c r="G607" s="28"/>
      <c r="H607" s="28"/>
      <c r="I607" s="28"/>
    </row>
    <row r="608">
      <c r="A608" s="80"/>
      <c r="G608" s="28"/>
      <c r="H608" s="28"/>
      <c r="I608" s="28"/>
    </row>
    <row r="609">
      <c r="A609" s="80"/>
      <c r="G609" s="28"/>
      <c r="H609" s="28"/>
      <c r="I609" s="28"/>
    </row>
    <row r="610">
      <c r="A610" s="80"/>
      <c r="G610" s="28"/>
      <c r="H610" s="28"/>
      <c r="I610" s="28"/>
    </row>
    <row r="611">
      <c r="A611" s="80"/>
      <c r="G611" s="28"/>
      <c r="H611" s="28"/>
      <c r="I611" s="28"/>
    </row>
    <row r="612">
      <c r="A612" s="80"/>
      <c r="G612" s="28"/>
      <c r="H612" s="28"/>
      <c r="I612" s="28"/>
    </row>
    <row r="613">
      <c r="A613" s="80"/>
      <c r="G613" s="28"/>
      <c r="H613" s="28"/>
      <c r="I613" s="28"/>
    </row>
    <row r="614">
      <c r="A614" s="80"/>
      <c r="G614" s="28"/>
      <c r="H614" s="28"/>
      <c r="I614" s="28"/>
    </row>
    <row r="615">
      <c r="A615" s="80"/>
      <c r="G615" s="28"/>
      <c r="H615" s="28"/>
      <c r="I615" s="28"/>
    </row>
    <row r="616">
      <c r="A616" s="80"/>
      <c r="G616" s="28"/>
      <c r="H616" s="28"/>
      <c r="I616" s="28"/>
    </row>
    <row r="617">
      <c r="A617" s="80"/>
      <c r="G617" s="28"/>
      <c r="H617" s="28"/>
      <c r="I617" s="28"/>
    </row>
    <row r="618">
      <c r="A618" s="80"/>
      <c r="G618" s="28"/>
      <c r="H618" s="28"/>
      <c r="I618" s="28"/>
    </row>
    <row r="619">
      <c r="A619" s="80"/>
      <c r="G619" s="28"/>
      <c r="H619" s="28"/>
      <c r="I619" s="28"/>
    </row>
    <row r="620">
      <c r="A620" s="80"/>
      <c r="G620" s="28"/>
      <c r="H620" s="28"/>
      <c r="I620" s="28"/>
    </row>
    <row r="621">
      <c r="A621" s="80"/>
      <c r="G621" s="28"/>
      <c r="H621" s="28"/>
      <c r="I621" s="28"/>
    </row>
    <row r="622">
      <c r="A622" s="80"/>
      <c r="G622" s="28"/>
      <c r="H622" s="28"/>
      <c r="I622" s="28"/>
    </row>
    <row r="623">
      <c r="A623" s="80"/>
      <c r="G623" s="28"/>
      <c r="H623" s="28"/>
      <c r="I623" s="28"/>
    </row>
    <row r="624">
      <c r="A624" s="80"/>
      <c r="G624" s="28"/>
      <c r="H624" s="28"/>
      <c r="I624" s="28"/>
    </row>
    <row r="625">
      <c r="A625" s="80"/>
      <c r="G625" s="28"/>
      <c r="H625" s="28"/>
      <c r="I625" s="28"/>
    </row>
    <row r="626">
      <c r="A626" s="80"/>
      <c r="G626" s="28"/>
      <c r="H626" s="28"/>
      <c r="I626" s="28"/>
    </row>
    <row r="627">
      <c r="A627" s="80"/>
      <c r="G627" s="28"/>
      <c r="H627" s="28"/>
      <c r="I627" s="28"/>
    </row>
    <row r="628">
      <c r="A628" s="80"/>
      <c r="G628" s="28"/>
      <c r="H628" s="28"/>
      <c r="I628" s="28"/>
    </row>
    <row r="629">
      <c r="A629" s="80"/>
      <c r="G629" s="28"/>
      <c r="H629" s="28"/>
      <c r="I629" s="28"/>
    </row>
    <row r="630">
      <c r="A630" s="80"/>
      <c r="G630" s="28"/>
      <c r="H630" s="28"/>
      <c r="I630" s="28"/>
    </row>
    <row r="631">
      <c r="A631" s="80"/>
      <c r="G631" s="28"/>
      <c r="H631" s="28"/>
      <c r="I631" s="28"/>
    </row>
    <row r="632">
      <c r="A632" s="80"/>
      <c r="G632" s="28"/>
      <c r="H632" s="28"/>
      <c r="I632" s="28"/>
    </row>
    <row r="633">
      <c r="A633" s="80"/>
      <c r="G633" s="28"/>
      <c r="H633" s="28"/>
      <c r="I633" s="28"/>
    </row>
    <row r="634">
      <c r="A634" s="80"/>
      <c r="G634" s="28"/>
      <c r="H634" s="28"/>
      <c r="I634" s="28"/>
    </row>
    <row r="635">
      <c r="A635" s="80"/>
      <c r="G635" s="28"/>
      <c r="H635" s="28"/>
      <c r="I635" s="28"/>
    </row>
    <row r="636">
      <c r="A636" s="80"/>
      <c r="G636" s="28"/>
      <c r="H636" s="28"/>
      <c r="I636" s="28"/>
    </row>
    <row r="637">
      <c r="A637" s="80"/>
      <c r="G637" s="28"/>
      <c r="H637" s="28"/>
      <c r="I637" s="28"/>
    </row>
    <row r="638">
      <c r="A638" s="80"/>
      <c r="G638" s="28"/>
      <c r="H638" s="28"/>
      <c r="I638" s="28"/>
    </row>
    <row r="639">
      <c r="A639" s="80"/>
      <c r="G639" s="28"/>
      <c r="H639" s="28"/>
      <c r="I639" s="28"/>
    </row>
    <row r="640">
      <c r="A640" s="80"/>
      <c r="G640" s="28"/>
      <c r="H640" s="28"/>
      <c r="I640" s="28"/>
    </row>
    <row r="641">
      <c r="A641" s="80"/>
      <c r="G641" s="28"/>
      <c r="H641" s="28"/>
      <c r="I641" s="28"/>
    </row>
    <row r="642">
      <c r="A642" s="80"/>
      <c r="G642" s="28"/>
      <c r="H642" s="28"/>
      <c r="I642" s="28"/>
    </row>
    <row r="643">
      <c r="A643" s="80"/>
      <c r="G643" s="28"/>
      <c r="H643" s="28"/>
      <c r="I643" s="28"/>
    </row>
    <row r="644">
      <c r="A644" s="80"/>
      <c r="G644" s="28"/>
      <c r="H644" s="28"/>
      <c r="I644" s="28"/>
    </row>
    <row r="645">
      <c r="A645" s="80"/>
      <c r="G645" s="28"/>
      <c r="H645" s="28"/>
      <c r="I645" s="28"/>
    </row>
    <row r="646">
      <c r="A646" s="80"/>
      <c r="G646" s="28"/>
      <c r="H646" s="28"/>
      <c r="I646" s="28"/>
    </row>
    <row r="647">
      <c r="A647" s="80"/>
      <c r="G647" s="28"/>
      <c r="H647" s="28"/>
      <c r="I647" s="28"/>
    </row>
    <row r="648">
      <c r="A648" s="80"/>
      <c r="G648" s="28"/>
      <c r="H648" s="28"/>
      <c r="I648" s="28"/>
    </row>
    <row r="649">
      <c r="A649" s="80"/>
      <c r="G649" s="28"/>
      <c r="H649" s="28"/>
      <c r="I649" s="28"/>
    </row>
    <row r="650">
      <c r="A650" s="80"/>
      <c r="G650" s="28"/>
      <c r="H650" s="28"/>
      <c r="I650" s="28"/>
    </row>
    <row r="651">
      <c r="A651" s="80"/>
      <c r="G651" s="28"/>
      <c r="H651" s="28"/>
      <c r="I651" s="28"/>
    </row>
    <row r="652">
      <c r="A652" s="80"/>
      <c r="G652" s="28"/>
      <c r="H652" s="28"/>
      <c r="I652" s="28"/>
    </row>
    <row r="653">
      <c r="A653" s="80"/>
      <c r="G653" s="28"/>
      <c r="H653" s="28"/>
      <c r="I653" s="28"/>
    </row>
    <row r="654">
      <c r="A654" s="80"/>
      <c r="G654" s="28"/>
      <c r="H654" s="28"/>
      <c r="I654" s="28"/>
    </row>
    <row r="655">
      <c r="A655" s="80"/>
      <c r="G655" s="28"/>
      <c r="H655" s="28"/>
      <c r="I655" s="28"/>
    </row>
    <row r="656">
      <c r="A656" s="80"/>
      <c r="G656" s="28"/>
      <c r="H656" s="28"/>
      <c r="I656" s="28"/>
    </row>
    <row r="657">
      <c r="A657" s="80"/>
      <c r="G657" s="28"/>
      <c r="H657" s="28"/>
      <c r="I657" s="28"/>
    </row>
    <row r="658">
      <c r="A658" s="80"/>
      <c r="G658" s="28"/>
      <c r="H658" s="28"/>
      <c r="I658" s="28"/>
    </row>
    <row r="659">
      <c r="A659" s="80"/>
      <c r="G659" s="28"/>
      <c r="H659" s="28"/>
      <c r="I659" s="28"/>
    </row>
    <row r="660">
      <c r="A660" s="80"/>
      <c r="G660" s="28"/>
      <c r="H660" s="28"/>
      <c r="I660" s="28"/>
    </row>
    <row r="661">
      <c r="A661" s="80"/>
      <c r="G661" s="28"/>
      <c r="H661" s="28"/>
      <c r="I661" s="28"/>
    </row>
    <row r="662">
      <c r="A662" s="80"/>
      <c r="G662" s="28"/>
      <c r="H662" s="28"/>
      <c r="I662" s="28"/>
    </row>
    <row r="663">
      <c r="A663" s="80"/>
      <c r="G663" s="28"/>
      <c r="H663" s="28"/>
      <c r="I663" s="28"/>
    </row>
    <row r="664">
      <c r="A664" s="80"/>
      <c r="G664" s="28"/>
      <c r="H664" s="28"/>
      <c r="I664" s="28"/>
    </row>
    <row r="665">
      <c r="A665" s="80"/>
      <c r="G665" s="28"/>
      <c r="H665" s="28"/>
      <c r="I665" s="28"/>
    </row>
    <row r="666">
      <c r="A666" s="80"/>
      <c r="G666" s="28"/>
      <c r="H666" s="28"/>
      <c r="I666" s="28"/>
    </row>
    <row r="667">
      <c r="A667" s="80"/>
      <c r="G667" s="28"/>
      <c r="H667" s="28"/>
      <c r="I667" s="28"/>
    </row>
    <row r="668">
      <c r="A668" s="80"/>
      <c r="G668" s="28"/>
      <c r="H668" s="28"/>
      <c r="I668" s="28"/>
    </row>
    <row r="669">
      <c r="A669" s="80"/>
      <c r="G669" s="28"/>
      <c r="H669" s="28"/>
      <c r="I669" s="28"/>
    </row>
    <row r="670">
      <c r="A670" s="80"/>
      <c r="G670" s="28"/>
      <c r="H670" s="28"/>
      <c r="I670" s="28"/>
    </row>
    <row r="671">
      <c r="A671" s="80"/>
      <c r="G671" s="28"/>
      <c r="H671" s="28"/>
      <c r="I671" s="28"/>
    </row>
    <row r="672">
      <c r="A672" s="80"/>
      <c r="G672" s="28"/>
      <c r="H672" s="28"/>
      <c r="I672" s="28"/>
    </row>
    <row r="673">
      <c r="A673" s="80"/>
      <c r="G673" s="28"/>
      <c r="H673" s="28"/>
      <c r="I673" s="28"/>
    </row>
    <row r="674">
      <c r="A674" s="80"/>
      <c r="G674" s="28"/>
      <c r="H674" s="28"/>
      <c r="I674" s="28"/>
    </row>
    <row r="675">
      <c r="A675" s="80"/>
      <c r="G675" s="28"/>
      <c r="H675" s="28"/>
      <c r="I675" s="28"/>
    </row>
    <row r="676">
      <c r="A676" s="80"/>
      <c r="G676" s="28"/>
      <c r="H676" s="28"/>
      <c r="I676" s="28"/>
    </row>
    <row r="677">
      <c r="A677" s="80"/>
      <c r="G677" s="28"/>
      <c r="H677" s="28"/>
      <c r="I677" s="28"/>
    </row>
    <row r="678">
      <c r="A678" s="80"/>
      <c r="G678" s="28"/>
      <c r="H678" s="28"/>
      <c r="I678" s="28"/>
    </row>
    <row r="679">
      <c r="A679" s="80"/>
      <c r="G679" s="28"/>
      <c r="H679" s="28"/>
      <c r="I679" s="28"/>
    </row>
    <row r="680">
      <c r="A680" s="80"/>
      <c r="G680" s="28"/>
      <c r="H680" s="28"/>
      <c r="I680" s="28"/>
    </row>
    <row r="681">
      <c r="A681" s="80"/>
      <c r="G681" s="28"/>
      <c r="H681" s="28"/>
      <c r="I681" s="28"/>
    </row>
    <row r="682">
      <c r="A682" s="80"/>
      <c r="G682" s="28"/>
      <c r="H682" s="28"/>
      <c r="I682" s="28"/>
    </row>
    <row r="683">
      <c r="A683" s="80"/>
      <c r="G683" s="28"/>
      <c r="H683" s="28"/>
      <c r="I683" s="28"/>
    </row>
    <row r="684">
      <c r="A684" s="80"/>
      <c r="G684" s="28"/>
      <c r="H684" s="28"/>
      <c r="I684" s="28"/>
    </row>
    <row r="685">
      <c r="A685" s="80"/>
      <c r="G685" s="28"/>
      <c r="H685" s="28"/>
      <c r="I685" s="28"/>
    </row>
    <row r="686">
      <c r="A686" s="80"/>
      <c r="G686" s="28"/>
      <c r="H686" s="28"/>
      <c r="I686" s="28"/>
    </row>
    <row r="687">
      <c r="A687" s="80"/>
      <c r="G687" s="28"/>
      <c r="H687" s="28"/>
      <c r="I687" s="28"/>
    </row>
    <row r="688">
      <c r="A688" s="80"/>
      <c r="G688" s="28"/>
      <c r="H688" s="28"/>
      <c r="I688" s="28"/>
    </row>
    <row r="689">
      <c r="A689" s="80"/>
      <c r="G689" s="28"/>
      <c r="H689" s="28"/>
      <c r="I689" s="28"/>
    </row>
    <row r="690">
      <c r="A690" s="80"/>
      <c r="G690" s="28"/>
      <c r="H690" s="28"/>
      <c r="I690" s="28"/>
    </row>
    <row r="691">
      <c r="A691" s="80"/>
      <c r="G691" s="28"/>
      <c r="H691" s="28"/>
      <c r="I691" s="28"/>
    </row>
    <row r="692">
      <c r="A692" s="80"/>
      <c r="G692" s="28"/>
      <c r="H692" s="28"/>
      <c r="I692" s="28"/>
    </row>
    <row r="693">
      <c r="A693" s="80"/>
      <c r="G693" s="28"/>
      <c r="H693" s="28"/>
      <c r="I693" s="28"/>
    </row>
    <row r="694">
      <c r="A694" s="80"/>
      <c r="G694" s="28"/>
      <c r="H694" s="28"/>
      <c r="I694" s="28"/>
    </row>
    <row r="695">
      <c r="A695" s="80"/>
      <c r="G695" s="28"/>
      <c r="H695" s="28"/>
      <c r="I695" s="28"/>
    </row>
    <row r="696">
      <c r="A696" s="80"/>
      <c r="G696" s="28"/>
      <c r="H696" s="28"/>
      <c r="I696" s="28"/>
    </row>
    <row r="697">
      <c r="A697" s="80"/>
      <c r="G697" s="28"/>
      <c r="H697" s="28"/>
      <c r="I697" s="28"/>
    </row>
    <row r="698">
      <c r="A698" s="80"/>
      <c r="G698" s="28"/>
      <c r="H698" s="28"/>
      <c r="I698" s="28"/>
    </row>
    <row r="699">
      <c r="A699" s="80"/>
      <c r="G699" s="28"/>
      <c r="H699" s="28"/>
      <c r="I699" s="28"/>
    </row>
    <row r="700">
      <c r="A700" s="80"/>
      <c r="G700" s="28"/>
      <c r="H700" s="28"/>
      <c r="I700" s="28"/>
    </row>
    <row r="701">
      <c r="A701" s="80"/>
      <c r="G701" s="28"/>
      <c r="H701" s="28"/>
      <c r="I701" s="28"/>
    </row>
    <row r="702">
      <c r="A702" s="80"/>
      <c r="G702" s="28"/>
      <c r="H702" s="28"/>
      <c r="I702" s="28"/>
    </row>
    <row r="703">
      <c r="A703" s="80"/>
      <c r="G703" s="28"/>
      <c r="H703" s="28"/>
      <c r="I703" s="28"/>
    </row>
    <row r="704">
      <c r="A704" s="80"/>
      <c r="G704" s="28"/>
      <c r="H704" s="28"/>
      <c r="I704" s="28"/>
    </row>
    <row r="705">
      <c r="A705" s="80"/>
      <c r="G705" s="28"/>
      <c r="H705" s="28"/>
      <c r="I705" s="28"/>
    </row>
    <row r="706">
      <c r="A706" s="80"/>
      <c r="G706" s="28"/>
      <c r="H706" s="28"/>
      <c r="I706" s="28"/>
    </row>
    <row r="707">
      <c r="A707" s="80"/>
      <c r="G707" s="28"/>
      <c r="H707" s="28"/>
      <c r="I707" s="28"/>
    </row>
    <row r="708">
      <c r="A708" s="80"/>
      <c r="G708" s="28"/>
      <c r="H708" s="28"/>
      <c r="I708" s="28"/>
    </row>
    <row r="709">
      <c r="A709" s="80"/>
      <c r="G709" s="28"/>
      <c r="H709" s="28"/>
      <c r="I709" s="28"/>
    </row>
    <row r="710">
      <c r="A710" s="80"/>
      <c r="G710" s="28"/>
      <c r="H710" s="28"/>
      <c r="I710" s="28"/>
    </row>
    <row r="711">
      <c r="A711" s="80"/>
      <c r="G711" s="28"/>
      <c r="H711" s="28"/>
      <c r="I711" s="28"/>
    </row>
    <row r="712">
      <c r="A712" s="80"/>
      <c r="G712" s="28"/>
      <c r="H712" s="28"/>
      <c r="I712" s="28"/>
    </row>
    <row r="713">
      <c r="A713" s="80"/>
      <c r="G713" s="28"/>
      <c r="H713" s="28"/>
      <c r="I713" s="28"/>
    </row>
    <row r="714">
      <c r="A714" s="80"/>
      <c r="G714" s="28"/>
      <c r="H714" s="28"/>
      <c r="I714" s="28"/>
    </row>
    <row r="715">
      <c r="A715" s="80"/>
      <c r="G715" s="28"/>
      <c r="H715" s="28"/>
      <c r="I715" s="28"/>
    </row>
    <row r="716">
      <c r="A716" s="80"/>
      <c r="G716" s="28"/>
      <c r="H716" s="28"/>
      <c r="I716" s="28"/>
    </row>
    <row r="717">
      <c r="A717" s="80"/>
      <c r="G717" s="28"/>
      <c r="H717" s="28"/>
      <c r="I717" s="28"/>
    </row>
    <row r="718">
      <c r="A718" s="80"/>
      <c r="G718" s="28"/>
      <c r="H718" s="28"/>
      <c r="I718" s="28"/>
    </row>
    <row r="719">
      <c r="A719" s="80"/>
      <c r="G719" s="28"/>
      <c r="H719" s="28"/>
      <c r="I719" s="28"/>
    </row>
    <row r="720">
      <c r="A720" s="80"/>
      <c r="G720" s="28"/>
      <c r="H720" s="28"/>
      <c r="I720" s="28"/>
    </row>
    <row r="721">
      <c r="A721" s="80"/>
      <c r="G721" s="28"/>
      <c r="H721" s="28"/>
      <c r="I721" s="28"/>
    </row>
    <row r="722">
      <c r="A722" s="80"/>
      <c r="G722" s="28"/>
      <c r="H722" s="28"/>
      <c r="I722" s="28"/>
    </row>
    <row r="723">
      <c r="A723" s="80"/>
      <c r="G723" s="28"/>
      <c r="H723" s="28"/>
      <c r="I723" s="28"/>
    </row>
    <row r="724">
      <c r="A724" s="80"/>
      <c r="G724" s="28"/>
      <c r="H724" s="28"/>
      <c r="I724" s="28"/>
    </row>
    <row r="725">
      <c r="A725" s="80"/>
      <c r="G725" s="28"/>
      <c r="H725" s="28"/>
      <c r="I725" s="28"/>
    </row>
    <row r="726">
      <c r="A726" s="80"/>
      <c r="G726" s="28"/>
      <c r="H726" s="28"/>
      <c r="I726" s="28"/>
    </row>
    <row r="727">
      <c r="A727" s="80"/>
      <c r="G727" s="28"/>
      <c r="H727" s="28"/>
      <c r="I727" s="28"/>
    </row>
    <row r="728">
      <c r="A728" s="80"/>
      <c r="G728" s="28"/>
      <c r="H728" s="28"/>
      <c r="I728" s="28"/>
    </row>
    <row r="729">
      <c r="A729" s="80"/>
      <c r="G729" s="28"/>
      <c r="H729" s="28"/>
      <c r="I729" s="28"/>
    </row>
    <row r="730">
      <c r="A730" s="80"/>
      <c r="G730" s="28"/>
      <c r="H730" s="28"/>
      <c r="I730" s="28"/>
    </row>
    <row r="731">
      <c r="A731" s="80"/>
      <c r="G731" s="28"/>
      <c r="H731" s="28"/>
      <c r="I731" s="28"/>
    </row>
    <row r="732">
      <c r="A732" s="80"/>
      <c r="G732" s="28"/>
      <c r="H732" s="28"/>
      <c r="I732" s="28"/>
    </row>
    <row r="733">
      <c r="A733" s="80"/>
      <c r="G733" s="28"/>
      <c r="H733" s="28"/>
      <c r="I733" s="28"/>
    </row>
    <row r="734">
      <c r="A734" s="80"/>
      <c r="G734" s="28"/>
      <c r="H734" s="28"/>
      <c r="I734" s="28"/>
    </row>
    <row r="735">
      <c r="A735" s="80"/>
      <c r="G735" s="28"/>
      <c r="H735" s="28"/>
      <c r="I735" s="28"/>
    </row>
    <row r="736">
      <c r="A736" s="80"/>
      <c r="G736" s="28"/>
      <c r="H736" s="28"/>
      <c r="I736" s="28"/>
    </row>
    <row r="737">
      <c r="A737" s="80"/>
      <c r="G737" s="28"/>
      <c r="H737" s="28"/>
      <c r="I737" s="28"/>
    </row>
    <row r="738">
      <c r="A738" s="80"/>
      <c r="G738" s="28"/>
      <c r="H738" s="28"/>
      <c r="I738" s="28"/>
    </row>
    <row r="739">
      <c r="A739" s="80"/>
      <c r="G739" s="28"/>
      <c r="H739" s="28"/>
      <c r="I739" s="28"/>
    </row>
    <row r="740">
      <c r="A740" s="80"/>
      <c r="G740" s="28"/>
      <c r="H740" s="28"/>
      <c r="I740" s="28"/>
    </row>
    <row r="741">
      <c r="A741" s="80"/>
      <c r="G741" s="28"/>
      <c r="H741" s="28"/>
      <c r="I741" s="28"/>
    </row>
    <row r="742">
      <c r="A742" s="80"/>
      <c r="G742" s="28"/>
      <c r="H742" s="28"/>
      <c r="I742" s="28"/>
    </row>
    <row r="743">
      <c r="A743" s="80"/>
      <c r="G743" s="28"/>
      <c r="H743" s="28"/>
      <c r="I743" s="28"/>
    </row>
    <row r="744">
      <c r="A744" s="80"/>
      <c r="G744" s="28"/>
      <c r="H744" s="28"/>
      <c r="I744" s="28"/>
    </row>
    <row r="745">
      <c r="A745" s="80"/>
      <c r="G745" s="28"/>
      <c r="H745" s="28"/>
      <c r="I745" s="28"/>
    </row>
    <row r="746">
      <c r="A746" s="80"/>
      <c r="G746" s="28"/>
      <c r="H746" s="28"/>
      <c r="I746" s="28"/>
    </row>
    <row r="747">
      <c r="A747" s="80"/>
      <c r="G747" s="28"/>
      <c r="H747" s="28"/>
      <c r="I747" s="28"/>
    </row>
    <row r="748">
      <c r="A748" s="80"/>
      <c r="G748" s="28"/>
      <c r="H748" s="28"/>
      <c r="I748" s="28"/>
    </row>
    <row r="749">
      <c r="A749" s="80"/>
      <c r="G749" s="28"/>
      <c r="H749" s="28"/>
      <c r="I749" s="28"/>
    </row>
    <row r="750">
      <c r="A750" s="80"/>
      <c r="G750" s="28"/>
      <c r="H750" s="28"/>
      <c r="I750" s="28"/>
    </row>
    <row r="751">
      <c r="A751" s="80"/>
      <c r="G751" s="28"/>
      <c r="H751" s="28"/>
      <c r="I751" s="28"/>
    </row>
    <row r="752">
      <c r="A752" s="80"/>
      <c r="G752" s="28"/>
      <c r="H752" s="28"/>
      <c r="I752" s="28"/>
    </row>
    <row r="753">
      <c r="A753" s="80"/>
      <c r="G753" s="28"/>
      <c r="H753" s="28"/>
      <c r="I753" s="28"/>
    </row>
    <row r="754">
      <c r="A754" s="80"/>
      <c r="G754" s="28"/>
      <c r="H754" s="28"/>
      <c r="I754" s="28"/>
    </row>
    <row r="755">
      <c r="A755" s="80"/>
      <c r="G755" s="28"/>
      <c r="H755" s="28"/>
      <c r="I755" s="28"/>
    </row>
    <row r="756">
      <c r="A756" s="80"/>
      <c r="G756" s="28"/>
      <c r="H756" s="28"/>
      <c r="I756" s="28"/>
    </row>
    <row r="757">
      <c r="A757" s="80"/>
      <c r="G757" s="28"/>
      <c r="H757" s="28"/>
      <c r="I757" s="28"/>
    </row>
    <row r="758">
      <c r="A758" s="80"/>
      <c r="G758" s="28"/>
      <c r="H758" s="28"/>
      <c r="I758" s="28"/>
    </row>
    <row r="759">
      <c r="A759" s="80"/>
      <c r="G759" s="28"/>
      <c r="H759" s="28"/>
      <c r="I759" s="28"/>
    </row>
    <row r="760">
      <c r="A760" s="80"/>
      <c r="G760" s="28"/>
      <c r="H760" s="28"/>
      <c r="I760" s="28"/>
    </row>
    <row r="761">
      <c r="A761" s="80"/>
      <c r="G761" s="28"/>
      <c r="H761" s="28"/>
      <c r="I761" s="28"/>
    </row>
    <row r="762">
      <c r="A762" s="80"/>
      <c r="G762" s="28"/>
      <c r="H762" s="28"/>
      <c r="I762" s="28"/>
    </row>
    <row r="763">
      <c r="A763" s="80"/>
      <c r="G763" s="28"/>
      <c r="H763" s="28"/>
      <c r="I763" s="28"/>
    </row>
    <row r="764">
      <c r="A764" s="80"/>
      <c r="G764" s="28"/>
      <c r="H764" s="28"/>
      <c r="I764" s="28"/>
    </row>
    <row r="765">
      <c r="A765" s="80"/>
      <c r="G765" s="28"/>
      <c r="H765" s="28"/>
      <c r="I765" s="28"/>
    </row>
    <row r="766">
      <c r="A766" s="80"/>
      <c r="G766" s="28"/>
      <c r="H766" s="28"/>
      <c r="I766" s="28"/>
    </row>
    <row r="767">
      <c r="A767" s="80"/>
      <c r="G767" s="28"/>
      <c r="H767" s="28"/>
      <c r="I767" s="28"/>
    </row>
    <row r="768">
      <c r="A768" s="80"/>
      <c r="G768" s="28"/>
      <c r="H768" s="28"/>
      <c r="I768" s="28"/>
    </row>
    <row r="769">
      <c r="A769" s="80"/>
      <c r="G769" s="28"/>
      <c r="H769" s="28"/>
      <c r="I769" s="28"/>
    </row>
    <row r="770">
      <c r="A770" s="80"/>
      <c r="G770" s="28"/>
      <c r="H770" s="28"/>
      <c r="I770" s="28"/>
    </row>
    <row r="771">
      <c r="A771" s="80"/>
      <c r="G771" s="28"/>
      <c r="H771" s="28"/>
      <c r="I771" s="28"/>
    </row>
    <row r="772">
      <c r="A772" s="80"/>
      <c r="G772" s="28"/>
      <c r="H772" s="28"/>
      <c r="I772" s="28"/>
    </row>
    <row r="773">
      <c r="A773" s="80"/>
      <c r="G773" s="28"/>
      <c r="H773" s="28"/>
      <c r="I773" s="28"/>
    </row>
    <row r="774">
      <c r="A774" s="80"/>
      <c r="G774" s="28"/>
      <c r="H774" s="28"/>
      <c r="I774" s="28"/>
    </row>
    <row r="775">
      <c r="A775" s="80"/>
      <c r="G775" s="28"/>
      <c r="H775" s="28"/>
      <c r="I775" s="28"/>
    </row>
    <row r="776">
      <c r="A776" s="80"/>
      <c r="G776" s="28"/>
      <c r="H776" s="28"/>
      <c r="I776" s="28"/>
    </row>
    <row r="777">
      <c r="A777" s="80"/>
      <c r="G777" s="28"/>
      <c r="H777" s="28"/>
      <c r="I777" s="28"/>
    </row>
    <row r="778">
      <c r="A778" s="80"/>
      <c r="G778" s="28"/>
      <c r="H778" s="28"/>
      <c r="I778" s="28"/>
    </row>
    <row r="779">
      <c r="A779" s="80"/>
      <c r="G779" s="28"/>
      <c r="H779" s="28"/>
      <c r="I779" s="28"/>
    </row>
    <row r="780">
      <c r="A780" s="80"/>
      <c r="G780" s="28"/>
      <c r="H780" s="28"/>
      <c r="I780" s="28"/>
    </row>
    <row r="781">
      <c r="A781" s="80"/>
      <c r="G781" s="28"/>
      <c r="H781" s="28"/>
      <c r="I781" s="28"/>
    </row>
    <row r="782">
      <c r="A782" s="80"/>
      <c r="G782" s="28"/>
      <c r="H782" s="28"/>
      <c r="I782" s="28"/>
    </row>
    <row r="783">
      <c r="A783" s="80"/>
      <c r="G783" s="28"/>
      <c r="H783" s="28"/>
      <c r="I783" s="28"/>
    </row>
    <row r="784">
      <c r="A784" s="80"/>
      <c r="G784" s="28"/>
      <c r="H784" s="28"/>
      <c r="I784" s="28"/>
    </row>
    <row r="785">
      <c r="A785" s="80"/>
      <c r="G785" s="28"/>
      <c r="H785" s="28"/>
      <c r="I785" s="28"/>
    </row>
    <row r="786">
      <c r="A786" s="80"/>
      <c r="G786" s="28"/>
      <c r="H786" s="28"/>
      <c r="I786" s="28"/>
    </row>
    <row r="787">
      <c r="A787" s="80"/>
      <c r="G787" s="28"/>
      <c r="H787" s="28"/>
      <c r="I787" s="28"/>
    </row>
    <row r="788">
      <c r="A788" s="80"/>
      <c r="G788" s="28"/>
      <c r="H788" s="28"/>
      <c r="I788" s="28"/>
    </row>
    <row r="789">
      <c r="A789" s="80"/>
      <c r="G789" s="28"/>
      <c r="H789" s="28"/>
      <c r="I789" s="28"/>
    </row>
    <row r="790">
      <c r="A790" s="80"/>
      <c r="G790" s="28"/>
      <c r="H790" s="28"/>
      <c r="I790" s="28"/>
    </row>
    <row r="791">
      <c r="A791" s="80"/>
      <c r="G791" s="28"/>
      <c r="H791" s="28"/>
      <c r="I791" s="28"/>
    </row>
    <row r="792">
      <c r="A792" s="80"/>
      <c r="G792" s="28"/>
      <c r="H792" s="28"/>
      <c r="I792" s="28"/>
    </row>
    <row r="793">
      <c r="A793" s="80"/>
      <c r="G793" s="28"/>
      <c r="H793" s="28"/>
      <c r="I793" s="28"/>
    </row>
    <row r="794">
      <c r="A794" s="80"/>
      <c r="G794" s="28"/>
      <c r="H794" s="28"/>
      <c r="I794" s="28"/>
    </row>
    <row r="795">
      <c r="A795" s="80"/>
      <c r="G795" s="28"/>
      <c r="H795" s="28"/>
      <c r="I795" s="28"/>
    </row>
    <row r="796">
      <c r="A796" s="80"/>
      <c r="G796" s="28"/>
      <c r="H796" s="28"/>
      <c r="I796" s="28"/>
    </row>
    <row r="797">
      <c r="A797" s="80"/>
      <c r="G797" s="28"/>
      <c r="H797" s="28"/>
      <c r="I797" s="28"/>
    </row>
    <row r="798">
      <c r="A798" s="80"/>
      <c r="G798" s="28"/>
      <c r="H798" s="28"/>
      <c r="I798" s="28"/>
    </row>
    <row r="799">
      <c r="A799" s="80"/>
      <c r="G799" s="28"/>
      <c r="H799" s="28"/>
      <c r="I799" s="28"/>
    </row>
    <row r="800">
      <c r="A800" s="80"/>
      <c r="G800" s="28"/>
      <c r="H800" s="28"/>
      <c r="I800" s="28"/>
    </row>
    <row r="801">
      <c r="A801" s="80"/>
      <c r="G801" s="28"/>
      <c r="H801" s="28"/>
      <c r="I801" s="28"/>
    </row>
    <row r="802">
      <c r="A802" s="80"/>
      <c r="G802" s="28"/>
      <c r="H802" s="28"/>
      <c r="I802" s="28"/>
    </row>
    <row r="803">
      <c r="A803" s="80"/>
      <c r="G803" s="28"/>
      <c r="H803" s="28"/>
      <c r="I803" s="28"/>
    </row>
    <row r="804">
      <c r="A804" s="80"/>
      <c r="G804" s="28"/>
      <c r="H804" s="28"/>
      <c r="I804" s="28"/>
    </row>
    <row r="805">
      <c r="A805" s="80"/>
      <c r="G805" s="28"/>
      <c r="H805" s="28"/>
      <c r="I805" s="28"/>
    </row>
    <row r="806">
      <c r="A806" s="80"/>
      <c r="G806" s="28"/>
      <c r="H806" s="28"/>
      <c r="I806" s="28"/>
    </row>
    <row r="807">
      <c r="A807" s="80"/>
      <c r="G807" s="28"/>
      <c r="H807" s="28"/>
      <c r="I807" s="28"/>
    </row>
    <row r="808">
      <c r="A808" s="80"/>
      <c r="G808" s="28"/>
      <c r="H808" s="28"/>
      <c r="I808" s="28"/>
    </row>
    <row r="809">
      <c r="A809" s="80"/>
      <c r="G809" s="28"/>
      <c r="H809" s="28"/>
      <c r="I809" s="28"/>
    </row>
    <row r="810">
      <c r="A810" s="80"/>
      <c r="G810" s="28"/>
      <c r="H810" s="28"/>
      <c r="I810" s="28"/>
    </row>
    <row r="811">
      <c r="A811" s="80"/>
      <c r="G811" s="28"/>
      <c r="H811" s="28"/>
      <c r="I811" s="28"/>
    </row>
    <row r="812">
      <c r="A812" s="80"/>
      <c r="G812" s="28"/>
      <c r="H812" s="28"/>
      <c r="I812" s="28"/>
    </row>
    <row r="813">
      <c r="A813" s="80"/>
      <c r="G813" s="28"/>
      <c r="H813" s="28"/>
      <c r="I813" s="28"/>
    </row>
    <row r="814">
      <c r="A814" s="80"/>
      <c r="G814" s="28"/>
      <c r="H814" s="28"/>
      <c r="I814" s="28"/>
    </row>
    <row r="815">
      <c r="A815" s="80"/>
      <c r="G815" s="28"/>
      <c r="H815" s="28"/>
      <c r="I815" s="28"/>
    </row>
    <row r="816">
      <c r="A816" s="80"/>
      <c r="G816" s="28"/>
      <c r="H816" s="28"/>
      <c r="I816" s="28"/>
    </row>
    <row r="817">
      <c r="A817" s="80"/>
      <c r="G817" s="28"/>
      <c r="H817" s="28"/>
      <c r="I817" s="28"/>
    </row>
    <row r="818">
      <c r="A818" s="80"/>
      <c r="G818" s="28"/>
      <c r="H818" s="28"/>
      <c r="I818" s="28"/>
    </row>
    <row r="819">
      <c r="A819" s="80"/>
      <c r="G819" s="28"/>
      <c r="H819" s="28"/>
      <c r="I819" s="28"/>
    </row>
    <row r="820">
      <c r="A820" s="80"/>
      <c r="G820" s="28"/>
      <c r="H820" s="28"/>
      <c r="I820" s="28"/>
    </row>
    <row r="821">
      <c r="A821" s="80"/>
      <c r="G821" s="28"/>
      <c r="H821" s="28"/>
      <c r="I821" s="28"/>
    </row>
    <row r="822">
      <c r="A822" s="80"/>
      <c r="G822" s="28"/>
      <c r="H822" s="28"/>
      <c r="I822" s="28"/>
    </row>
    <row r="823">
      <c r="A823" s="80"/>
      <c r="G823" s="28"/>
      <c r="H823" s="28"/>
      <c r="I823" s="28"/>
    </row>
    <row r="824">
      <c r="A824" s="80"/>
      <c r="G824" s="28"/>
      <c r="H824" s="28"/>
      <c r="I824" s="28"/>
    </row>
    <row r="825">
      <c r="A825" s="80"/>
      <c r="G825" s="28"/>
      <c r="H825" s="28"/>
      <c r="I825" s="28"/>
    </row>
    <row r="826">
      <c r="A826" s="80"/>
      <c r="G826" s="28"/>
      <c r="H826" s="28"/>
      <c r="I826" s="28"/>
    </row>
    <row r="827">
      <c r="A827" s="80"/>
      <c r="G827" s="28"/>
      <c r="H827" s="28"/>
      <c r="I827" s="28"/>
    </row>
    <row r="828">
      <c r="A828" s="80"/>
      <c r="G828" s="28"/>
      <c r="H828" s="28"/>
      <c r="I828" s="28"/>
    </row>
    <row r="829">
      <c r="A829" s="80"/>
      <c r="G829" s="28"/>
      <c r="H829" s="28"/>
      <c r="I829" s="28"/>
    </row>
    <row r="830">
      <c r="A830" s="80"/>
      <c r="G830" s="28"/>
      <c r="H830" s="28"/>
      <c r="I830" s="28"/>
    </row>
    <row r="831">
      <c r="A831" s="80"/>
      <c r="G831" s="28"/>
      <c r="H831" s="28"/>
      <c r="I831" s="28"/>
    </row>
    <row r="832">
      <c r="A832" s="80"/>
      <c r="G832" s="28"/>
      <c r="H832" s="28"/>
      <c r="I832" s="28"/>
    </row>
    <row r="833">
      <c r="A833" s="80"/>
      <c r="G833" s="28"/>
      <c r="H833" s="28"/>
      <c r="I833" s="28"/>
    </row>
    <row r="834">
      <c r="A834" s="80"/>
      <c r="G834" s="28"/>
      <c r="H834" s="28"/>
      <c r="I834" s="28"/>
    </row>
    <row r="835">
      <c r="A835" s="80"/>
      <c r="G835" s="28"/>
      <c r="H835" s="28"/>
      <c r="I835" s="28"/>
    </row>
    <row r="836">
      <c r="A836" s="80"/>
      <c r="G836" s="28"/>
      <c r="H836" s="28"/>
      <c r="I836" s="28"/>
    </row>
    <row r="837">
      <c r="A837" s="80"/>
      <c r="G837" s="28"/>
      <c r="H837" s="28"/>
      <c r="I837" s="28"/>
    </row>
    <row r="838">
      <c r="A838" s="80"/>
      <c r="G838" s="28"/>
      <c r="H838" s="28"/>
      <c r="I838" s="28"/>
    </row>
    <row r="839">
      <c r="A839" s="80"/>
      <c r="G839" s="28"/>
      <c r="H839" s="28"/>
      <c r="I839" s="28"/>
    </row>
    <row r="840">
      <c r="A840" s="80"/>
      <c r="G840" s="28"/>
      <c r="H840" s="28"/>
      <c r="I840" s="28"/>
    </row>
    <row r="841">
      <c r="A841" s="80"/>
      <c r="G841" s="28"/>
      <c r="H841" s="28"/>
      <c r="I841" s="28"/>
    </row>
    <row r="842">
      <c r="A842" s="80"/>
      <c r="G842" s="28"/>
      <c r="H842" s="28"/>
      <c r="I842" s="28"/>
    </row>
    <row r="843">
      <c r="A843" s="80"/>
      <c r="G843" s="28"/>
      <c r="H843" s="28"/>
      <c r="I843" s="28"/>
    </row>
    <row r="844">
      <c r="A844" s="80"/>
      <c r="G844" s="28"/>
      <c r="H844" s="28"/>
      <c r="I844" s="28"/>
    </row>
    <row r="845">
      <c r="A845" s="80"/>
      <c r="G845" s="28"/>
      <c r="H845" s="28"/>
      <c r="I845" s="28"/>
    </row>
    <row r="846">
      <c r="A846" s="80"/>
      <c r="G846" s="28"/>
      <c r="H846" s="28"/>
      <c r="I846" s="28"/>
    </row>
    <row r="847">
      <c r="A847" s="80"/>
      <c r="G847" s="28"/>
      <c r="H847" s="28"/>
      <c r="I847" s="28"/>
    </row>
    <row r="848">
      <c r="A848" s="80"/>
      <c r="G848" s="28"/>
      <c r="H848" s="28"/>
      <c r="I848" s="28"/>
    </row>
    <row r="849">
      <c r="A849" s="80"/>
      <c r="G849" s="28"/>
      <c r="H849" s="28"/>
      <c r="I849" s="28"/>
    </row>
    <row r="850">
      <c r="A850" s="80"/>
      <c r="G850" s="28"/>
      <c r="H850" s="28"/>
      <c r="I850" s="28"/>
    </row>
    <row r="851">
      <c r="A851" s="80"/>
      <c r="G851" s="28"/>
      <c r="H851" s="28"/>
      <c r="I851" s="28"/>
    </row>
    <row r="852">
      <c r="A852" s="80"/>
      <c r="G852" s="28"/>
      <c r="H852" s="28"/>
      <c r="I852" s="28"/>
    </row>
    <row r="853">
      <c r="A853" s="80"/>
      <c r="G853" s="28"/>
      <c r="H853" s="28"/>
      <c r="I853" s="28"/>
    </row>
    <row r="854">
      <c r="A854" s="80"/>
      <c r="G854" s="28"/>
      <c r="H854" s="28"/>
      <c r="I854" s="28"/>
    </row>
    <row r="855">
      <c r="A855" s="80"/>
      <c r="G855" s="28"/>
      <c r="H855" s="28"/>
      <c r="I855" s="28"/>
    </row>
    <row r="856">
      <c r="A856" s="80"/>
      <c r="G856" s="28"/>
      <c r="H856" s="28"/>
      <c r="I856" s="28"/>
    </row>
    <row r="857">
      <c r="A857" s="80"/>
      <c r="G857" s="28"/>
      <c r="H857" s="28"/>
      <c r="I857" s="28"/>
    </row>
    <row r="858">
      <c r="A858" s="80"/>
      <c r="G858" s="28"/>
      <c r="H858" s="28"/>
      <c r="I858" s="28"/>
    </row>
    <row r="859">
      <c r="A859" s="80"/>
      <c r="G859" s="28"/>
      <c r="H859" s="28"/>
      <c r="I859" s="28"/>
    </row>
    <row r="860">
      <c r="A860" s="80"/>
      <c r="G860" s="28"/>
      <c r="H860" s="28"/>
      <c r="I860" s="28"/>
    </row>
    <row r="861">
      <c r="A861" s="80"/>
      <c r="G861" s="28"/>
      <c r="H861" s="28"/>
      <c r="I861" s="28"/>
    </row>
    <row r="862">
      <c r="A862" s="80"/>
      <c r="G862" s="28"/>
      <c r="H862" s="28"/>
      <c r="I862" s="28"/>
    </row>
    <row r="863">
      <c r="A863" s="80"/>
      <c r="G863" s="28"/>
      <c r="H863" s="28"/>
      <c r="I863" s="28"/>
    </row>
    <row r="864">
      <c r="A864" s="80"/>
      <c r="G864" s="28"/>
      <c r="H864" s="28"/>
      <c r="I864" s="28"/>
    </row>
    <row r="865">
      <c r="A865" s="80"/>
      <c r="G865" s="28"/>
      <c r="H865" s="28"/>
      <c r="I865" s="28"/>
    </row>
    <row r="866">
      <c r="A866" s="80"/>
      <c r="G866" s="28"/>
      <c r="H866" s="28"/>
      <c r="I866" s="28"/>
    </row>
    <row r="867">
      <c r="A867" s="80"/>
      <c r="G867" s="28"/>
      <c r="H867" s="28"/>
      <c r="I867" s="28"/>
    </row>
    <row r="868">
      <c r="A868" s="80"/>
      <c r="G868" s="28"/>
      <c r="H868" s="28"/>
      <c r="I868" s="28"/>
    </row>
    <row r="869">
      <c r="A869" s="80"/>
      <c r="G869" s="28"/>
      <c r="H869" s="28"/>
      <c r="I869" s="28"/>
    </row>
    <row r="870">
      <c r="A870" s="80"/>
      <c r="G870" s="28"/>
      <c r="H870" s="28"/>
      <c r="I870" s="28"/>
    </row>
    <row r="871">
      <c r="A871" s="80"/>
      <c r="G871" s="28"/>
      <c r="H871" s="28"/>
      <c r="I871" s="28"/>
    </row>
    <row r="872">
      <c r="A872" s="80"/>
      <c r="G872" s="28"/>
      <c r="H872" s="28"/>
      <c r="I872" s="28"/>
    </row>
    <row r="873">
      <c r="A873" s="80"/>
      <c r="G873" s="28"/>
      <c r="H873" s="28"/>
      <c r="I873" s="28"/>
    </row>
    <row r="874">
      <c r="A874" s="80"/>
      <c r="G874" s="28"/>
      <c r="H874" s="28"/>
      <c r="I874" s="28"/>
    </row>
    <row r="875">
      <c r="A875" s="80"/>
      <c r="G875" s="28"/>
      <c r="H875" s="28"/>
      <c r="I875" s="28"/>
    </row>
    <row r="876">
      <c r="A876" s="80"/>
      <c r="G876" s="28"/>
      <c r="H876" s="28"/>
      <c r="I876" s="28"/>
    </row>
    <row r="877">
      <c r="A877" s="80"/>
      <c r="G877" s="28"/>
      <c r="H877" s="28"/>
      <c r="I877" s="28"/>
    </row>
    <row r="878">
      <c r="A878" s="80"/>
      <c r="G878" s="28"/>
      <c r="H878" s="28"/>
      <c r="I878" s="28"/>
    </row>
    <row r="879">
      <c r="A879" s="80"/>
      <c r="G879" s="28"/>
      <c r="H879" s="28"/>
      <c r="I879" s="28"/>
    </row>
    <row r="880">
      <c r="A880" s="80"/>
      <c r="G880" s="28"/>
      <c r="H880" s="28"/>
      <c r="I880" s="28"/>
    </row>
    <row r="881">
      <c r="A881" s="80"/>
      <c r="G881" s="28"/>
      <c r="H881" s="28"/>
      <c r="I881" s="28"/>
    </row>
    <row r="882">
      <c r="A882" s="80"/>
      <c r="G882" s="28"/>
      <c r="H882" s="28"/>
      <c r="I882" s="28"/>
    </row>
    <row r="883">
      <c r="A883" s="80"/>
      <c r="G883" s="28"/>
      <c r="H883" s="28"/>
      <c r="I883" s="28"/>
    </row>
    <row r="884">
      <c r="A884" s="80"/>
      <c r="G884" s="28"/>
      <c r="H884" s="28"/>
      <c r="I884" s="28"/>
    </row>
    <row r="885">
      <c r="A885" s="80"/>
      <c r="G885" s="28"/>
      <c r="H885" s="28"/>
      <c r="I885" s="28"/>
    </row>
    <row r="886">
      <c r="A886" s="80"/>
      <c r="G886" s="28"/>
      <c r="H886" s="28"/>
      <c r="I886" s="28"/>
    </row>
    <row r="887">
      <c r="A887" s="80"/>
      <c r="G887" s="28"/>
      <c r="H887" s="28"/>
      <c r="I887" s="28"/>
    </row>
    <row r="888">
      <c r="A888" s="80"/>
      <c r="G888" s="28"/>
      <c r="H888" s="28"/>
      <c r="I888" s="28"/>
    </row>
    <row r="889">
      <c r="A889" s="80"/>
      <c r="G889" s="28"/>
      <c r="H889" s="28"/>
      <c r="I889" s="28"/>
    </row>
    <row r="890">
      <c r="A890" s="80"/>
      <c r="G890" s="28"/>
      <c r="H890" s="28"/>
      <c r="I890" s="28"/>
    </row>
    <row r="891">
      <c r="A891" s="80"/>
      <c r="G891" s="28"/>
      <c r="H891" s="28"/>
      <c r="I891" s="28"/>
    </row>
    <row r="892">
      <c r="A892" s="80"/>
      <c r="G892" s="28"/>
      <c r="H892" s="28"/>
      <c r="I892" s="28"/>
    </row>
    <row r="893">
      <c r="A893" s="80"/>
      <c r="G893" s="28"/>
      <c r="H893" s="28"/>
      <c r="I893" s="28"/>
    </row>
    <row r="894">
      <c r="A894" s="80"/>
      <c r="G894" s="28"/>
      <c r="H894" s="28"/>
      <c r="I894" s="28"/>
    </row>
    <row r="895">
      <c r="A895" s="80"/>
      <c r="G895" s="28"/>
      <c r="H895" s="28"/>
      <c r="I895" s="28"/>
    </row>
    <row r="896">
      <c r="A896" s="80"/>
      <c r="G896" s="28"/>
      <c r="H896" s="28"/>
      <c r="I896" s="28"/>
    </row>
    <row r="897">
      <c r="A897" s="80"/>
      <c r="G897" s="28"/>
      <c r="H897" s="28"/>
      <c r="I897" s="28"/>
    </row>
    <row r="898">
      <c r="A898" s="80"/>
      <c r="G898" s="28"/>
      <c r="H898" s="28"/>
      <c r="I898" s="28"/>
    </row>
    <row r="899">
      <c r="A899" s="80"/>
      <c r="G899" s="28"/>
      <c r="H899" s="28"/>
      <c r="I899" s="28"/>
    </row>
    <row r="900">
      <c r="A900" s="80"/>
      <c r="G900" s="28"/>
      <c r="H900" s="28"/>
      <c r="I900" s="28"/>
    </row>
    <row r="901">
      <c r="A901" s="80"/>
      <c r="G901" s="28"/>
      <c r="H901" s="28"/>
      <c r="I901" s="28"/>
    </row>
    <row r="902">
      <c r="A902" s="80"/>
      <c r="G902" s="28"/>
      <c r="H902" s="28"/>
      <c r="I902" s="28"/>
    </row>
    <row r="903">
      <c r="A903" s="80"/>
      <c r="G903" s="28"/>
      <c r="H903" s="28"/>
      <c r="I903" s="28"/>
    </row>
    <row r="904">
      <c r="A904" s="80"/>
      <c r="G904" s="28"/>
      <c r="H904" s="28"/>
      <c r="I904" s="28"/>
    </row>
    <row r="905">
      <c r="A905" s="80"/>
      <c r="G905" s="28"/>
      <c r="H905" s="28"/>
      <c r="I905" s="28"/>
    </row>
    <row r="906">
      <c r="A906" s="80"/>
      <c r="G906" s="28"/>
      <c r="H906" s="28"/>
      <c r="I906" s="28"/>
    </row>
    <row r="907">
      <c r="A907" s="80"/>
      <c r="G907" s="28"/>
      <c r="H907" s="28"/>
      <c r="I907" s="28"/>
    </row>
    <row r="908">
      <c r="A908" s="80"/>
      <c r="G908" s="28"/>
      <c r="H908" s="28"/>
      <c r="I908" s="28"/>
    </row>
    <row r="909">
      <c r="A909" s="80"/>
      <c r="G909" s="28"/>
      <c r="H909" s="28"/>
      <c r="I909" s="28"/>
    </row>
    <row r="910">
      <c r="A910" s="80"/>
      <c r="G910" s="28"/>
      <c r="H910" s="28"/>
      <c r="I910" s="28"/>
    </row>
    <row r="911">
      <c r="A911" s="80"/>
      <c r="G911" s="28"/>
      <c r="H911" s="28"/>
      <c r="I911" s="28"/>
    </row>
    <row r="912">
      <c r="A912" s="80"/>
      <c r="G912" s="28"/>
      <c r="H912" s="28"/>
      <c r="I912" s="28"/>
    </row>
    <row r="913">
      <c r="A913" s="80"/>
      <c r="G913" s="28"/>
      <c r="H913" s="28"/>
      <c r="I913" s="28"/>
    </row>
    <row r="914">
      <c r="A914" s="80"/>
      <c r="G914" s="28"/>
      <c r="H914" s="28"/>
      <c r="I914" s="28"/>
    </row>
    <row r="915">
      <c r="A915" s="80"/>
      <c r="G915" s="28"/>
      <c r="H915" s="28"/>
      <c r="I915" s="28"/>
    </row>
    <row r="916">
      <c r="A916" s="80"/>
      <c r="G916" s="28"/>
      <c r="H916" s="28"/>
      <c r="I916" s="28"/>
    </row>
    <row r="917">
      <c r="A917" s="80"/>
      <c r="G917" s="28"/>
      <c r="H917" s="28"/>
      <c r="I917" s="28"/>
    </row>
    <row r="918">
      <c r="A918" s="80"/>
      <c r="G918" s="28"/>
      <c r="H918" s="28"/>
      <c r="I918" s="28"/>
    </row>
    <row r="919">
      <c r="A919" s="80"/>
      <c r="G919" s="28"/>
      <c r="H919" s="28"/>
      <c r="I919" s="28"/>
    </row>
    <row r="920">
      <c r="A920" s="80"/>
      <c r="G920" s="28"/>
      <c r="H920" s="28"/>
      <c r="I920" s="28"/>
    </row>
    <row r="921">
      <c r="A921" s="80"/>
      <c r="G921" s="28"/>
      <c r="H921" s="28"/>
      <c r="I921" s="28"/>
    </row>
    <row r="922">
      <c r="A922" s="80"/>
      <c r="G922" s="28"/>
      <c r="H922" s="28"/>
      <c r="I922" s="28"/>
    </row>
    <row r="923">
      <c r="A923" s="80"/>
      <c r="G923" s="28"/>
      <c r="H923" s="28"/>
      <c r="I923" s="28"/>
    </row>
    <row r="924">
      <c r="A924" s="80"/>
      <c r="G924" s="28"/>
      <c r="H924" s="28"/>
      <c r="I924" s="28"/>
    </row>
    <row r="925">
      <c r="A925" s="80"/>
      <c r="G925" s="28"/>
      <c r="H925" s="28"/>
      <c r="I925" s="28"/>
    </row>
    <row r="926">
      <c r="A926" s="80"/>
      <c r="G926" s="28"/>
      <c r="H926" s="28"/>
      <c r="I926" s="28"/>
    </row>
    <row r="927">
      <c r="A927" s="80"/>
      <c r="G927" s="28"/>
      <c r="H927" s="28"/>
      <c r="I927" s="28"/>
    </row>
    <row r="928">
      <c r="A928" s="80"/>
      <c r="G928" s="28"/>
      <c r="H928" s="28"/>
      <c r="I928" s="28"/>
    </row>
    <row r="929">
      <c r="A929" s="80"/>
      <c r="G929" s="28"/>
      <c r="H929" s="28"/>
      <c r="I929" s="28"/>
    </row>
    <row r="930">
      <c r="A930" s="80"/>
      <c r="G930" s="28"/>
      <c r="H930" s="28"/>
      <c r="I930" s="28"/>
    </row>
    <row r="931">
      <c r="A931" s="80"/>
      <c r="G931" s="28"/>
      <c r="H931" s="28"/>
      <c r="I931" s="28"/>
    </row>
    <row r="932">
      <c r="A932" s="80"/>
      <c r="G932" s="28"/>
      <c r="H932" s="28"/>
      <c r="I932" s="28"/>
    </row>
    <row r="933">
      <c r="A933" s="80"/>
      <c r="G933" s="28"/>
      <c r="H933" s="28"/>
      <c r="I933" s="28"/>
    </row>
    <row r="934">
      <c r="A934" s="80"/>
      <c r="G934" s="28"/>
      <c r="H934" s="28"/>
      <c r="I934" s="28"/>
    </row>
    <row r="935">
      <c r="A935" s="80"/>
      <c r="G935" s="28"/>
      <c r="H935" s="28"/>
      <c r="I935" s="28"/>
    </row>
    <row r="936">
      <c r="A936" s="80"/>
      <c r="G936" s="28"/>
      <c r="H936" s="28"/>
      <c r="I936" s="28"/>
    </row>
    <row r="937">
      <c r="A937" s="80"/>
      <c r="G937" s="28"/>
      <c r="H937" s="28"/>
      <c r="I937" s="28"/>
    </row>
    <row r="938">
      <c r="A938" s="80"/>
      <c r="G938" s="28"/>
      <c r="H938" s="28"/>
      <c r="I938" s="28"/>
    </row>
    <row r="939">
      <c r="A939" s="80"/>
      <c r="G939" s="28"/>
      <c r="H939" s="28"/>
      <c r="I939" s="28"/>
    </row>
    <row r="940">
      <c r="A940" s="80"/>
      <c r="G940" s="28"/>
      <c r="H940" s="28"/>
      <c r="I940" s="28"/>
    </row>
    <row r="941">
      <c r="A941" s="80"/>
      <c r="G941" s="28"/>
      <c r="H941" s="28"/>
      <c r="I941" s="28"/>
    </row>
    <row r="942">
      <c r="A942" s="80"/>
      <c r="G942" s="28"/>
      <c r="H942" s="28"/>
      <c r="I942" s="28"/>
    </row>
    <row r="943">
      <c r="A943" s="80"/>
      <c r="G943" s="28"/>
      <c r="H943" s="28"/>
      <c r="I943" s="28"/>
    </row>
    <row r="944">
      <c r="A944" s="80"/>
      <c r="G944" s="28"/>
      <c r="H944" s="28"/>
      <c r="I944" s="28"/>
    </row>
    <row r="945">
      <c r="A945" s="80"/>
      <c r="G945" s="28"/>
      <c r="H945" s="28"/>
      <c r="I945" s="28"/>
    </row>
    <row r="946">
      <c r="A946" s="80"/>
      <c r="G946" s="28"/>
      <c r="H946" s="28"/>
      <c r="I946" s="28"/>
    </row>
    <row r="947">
      <c r="A947" s="80"/>
      <c r="G947" s="28"/>
      <c r="H947" s="28"/>
      <c r="I947" s="28"/>
    </row>
    <row r="948">
      <c r="A948" s="80"/>
      <c r="G948" s="28"/>
      <c r="H948" s="28"/>
      <c r="I948" s="28"/>
    </row>
    <row r="949">
      <c r="A949" s="80"/>
      <c r="G949" s="28"/>
      <c r="H949" s="28"/>
      <c r="I949" s="28"/>
    </row>
    <row r="950">
      <c r="A950" s="80"/>
      <c r="G950" s="28"/>
      <c r="H950" s="28"/>
      <c r="I950" s="28"/>
    </row>
    <row r="951">
      <c r="A951" s="80"/>
      <c r="G951" s="28"/>
      <c r="H951" s="28"/>
      <c r="I951" s="28"/>
    </row>
    <row r="952">
      <c r="A952" s="80"/>
      <c r="G952" s="28"/>
      <c r="H952" s="28"/>
      <c r="I952" s="28"/>
    </row>
    <row r="953">
      <c r="A953" s="80"/>
      <c r="G953" s="28"/>
      <c r="H953" s="28"/>
      <c r="I953" s="28"/>
    </row>
    <row r="954">
      <c r="A954" s="80"/>
      <c r="G954" s="28"/>
      <c r="H954" s="28"/>
      <c r="I954" s="28"/>
    </row>
    <row r="955">
      <c r="A955" s="80"/>
      <c r="G955" s="28"/>
      <c r="H955" s="28"/>
      <c r="I955" s="28"/>
    </row>
    <row r="956">
      <c r="A956" s="80"/>
      <c r="G956" s="28"/>
      <c r="H956" s="28"/>
      <c r="I956" s="28"/>
    </row>
    <row r="957">
      <c r="A957" s="80"/>
      <c r="G957" s="28"/>
      <c r="H957" s="28"/>
      <c r="I957" s="28"/>
    </row>
    <row r="958">
      <c r="A958" s="80"/>
      <c r="G958" s="28"/>
      <c r="H958" s="28"/>
      <c r="I958" s="28"/>
    </row>
    <row r="959">
      <c r="A959" s="80"/>
      <c r="G959" s="28"/>
      <c r="H959" s="28"/>
      <c r="I959" s="28"/>
    </row>
    <row r="960">
      <c r="A960" s="80"/>
      <c r="G960" s="28"/>
      <c r="H960" s="28"/>
      <c r="I960" s="28"/>
    </row>
    <row r="961">
      <c r="A961" s="80"/>
      <c r="G961" s="28"/>
      <c r="H961" s="28"/>
      <c r="I961" s="28"/>
    </row>
    <row r="962">
      <c r="A962" s="80"/>
      <c r="G962" s="28"/>
      <c r="H962" s="28"/>
      <c r="I962" s="28"/>
    </row>
    <row r="963">
      <c r="A963" s="80"/>
      <c r="G963" s="28"/>
      <c r="H963" s="28"/>
      <c r="I963" s="28"/>
    </row>
    <row r="964">
      <c r="A964" s="80"/>
      <c r="G964" s="28"/>
      <c r="H964" s="28"/>
      <c r="I964" s="28"/>
    </row>
    <row r="965">
      <c r="A965" s="80"/>
      <c r="G965" s="28"/>
      <c r="H965" s="28"/>
      <c r="I965" s="28"/>
    </row>
    <row r="966">
      <c r="A966" s="80"/>
      <c r="G966" s="28"/>
      <c r="H966" s="28"/>
      <c r="I966" s="28"/>
    </row>
    <row r="967">
      <c r="A967" s="80"/>
      <c r="G967" s="28"/>
      <c r="H967" s="28"/>
      <c r="I967" s="28"/>
    </row>
    <row r="968">
      <c r="A968" s="80"/>
      <c r="G968" s="28"/>
      <c r="H968" s="28"/>
      <c r="I968" s="28"/>
    </row>
    <row r="969">
      <c r="A969" s="80"/>
      <c r="G969" s="28"/>
      <c r="H969" s="28"/>
      <c r="I969" s="28"/>
    </row>
    <row r="970">
      <c r="A970" s="80"/>
      <c r="G970" s="28"/>
      <c r="H970" s="28"/>
      <c r="I970" s="28"/>
    </row>
    <row r="971">
      <c r="A971" s="80"/>
      <c r="G971" s="28"/>
      <c r="H971" s="28"/>
      <c r="I971" s="28"/>
    </row>
    <row r="972">
      <c r="A972" s="80"/>
      <c r="G972" s="28"/>
      <c r="H972" s="28"/>
      <c r="I972" s="28"/>
    </row>
    <row r="973">
      <c r="A973" s="80"/>
      <c r="G973" s="28"/>
      <c r="H973" s="28"/>
      <c r="I973" s="28"/>
    </row>
    <row r="974">
      <c r="A974" s="80"/>
      <c r="G974" s="28"/>
      <c r="H974" s="28"/>
      <c r="I974" s="28"/>
    </row>
    <row r="975">
      <c r="A975" s="80"/>
      <c r="G975" s="28"/>
      <c r="H975" s="28"/>
      <c r="I975" s="28"/>
    </row>
    <row r="976">
      <c r="A976" s="80"/>
      <c r="G976" s="28"/>
      <c r="H976" s="28"/>
      <c r="I976" s="28"/>
    </row>
    <row r="977">
      <c r="A977" s="80"/>
      <c r="G977" s="28"/>
      <c r="H977" s="28"/>
      <c r="I977" s="28"/>
    </row>
    <row r="978">
      <c r="A978" s="80"/>
      <c r="G978" s="28"/>
      <c r="H978" s="28"/>
      <c r="I978" s="28"/>
    </row>
    <row r="979">
      <c r="A979" s="80"/>
      <c r="G979" s="28"/>
      <c r="H979" s="28"/>
      <c r="I979" s="28"/>
    </row>
    <row r="980">
      <c r="A980" s="80"/>
      <c r="G980" s="28"/>
      <c r="H980" s="28"/>
      <c r="I980" s="28"/>
    </row>
    <row r="981">
      <c r="A981" s="80"/>
      <c r="G981" s="28"/>
      <c r="H981" s="28"/>
      <c r="I981" s="28"/>
    </row>
    <row r="982">
      <c r="A982" s="80"/>
      <c r="G982" s="28"/>
      <c r="H982" s="28"/>
      <c r="I982" s="28"/>
    </row>
    <row r="983">
      <c r="A983" s="80"/>
      <c r="G983" s="28"/>
      <c r="H983" s="28"/>
      <c r="I983" s="28"/>
    </row>
    <row r="984">
      <c r="A984" s="80"/>
      <c r="G984" s="28"/>
      <c r="H984" s="28"/>
      <c r="I984" s="28"/>
    </row>
    <row r="985">
      <c r="A985" s="80"/>
      <c r="G985" s="28"/>
      <c r="H985" s="28"/>
      <c r="I985" s="28"/>
    </row>
    <row r="986">
      <c r="A986" s="80"/>
      <c r="G986" s="28"/>
      <c r="H986" s="28"/>
      <c r="I986" s="28"/>
    </row>
    <row r="987">
      <c r="A987" s="80"/>
      <c r="G987" s="28"/>
      <c r="H987" s="28"/>
      <c r="I987" s="28"/>
    </row>
    <row r="988">
      <c r="A988" s="80"/>
      <c r="G988" s="28"/>
      <c r="H988" s="28"/>
      <c r="I988" s="28"/>
    </row>
    <row r="989">
      <c r="A989" s="80"/>
      <c r="G989" s="28"/>
      <c r="H989" s="28"/>
      <c r="I989" s="28"/>
    </row>
    <row r="990">
      <c r="A990" s="80"/>
      <c r="G990" s="28"/>
      <c r="H990" s="28"/>
      <c r="I990" s="28"/>
    </row>
    <row r="991">
      <c r="A991" s="80"/>
      <c r="G991" s="28"/>
      <c r="H991" s="28"/>
      <c r="I991" s="28"/>
    </row>
    <row r="992">
      <c r="A992" s="80"/>
      <c r="G992" s="28"/>
      <c r="H992" s="28"/>
      <c r="I992" s="28"/>
    </row>
    <row r="993">
      <c r="A993" s="80"/>
      <c r="G993" s="28"/>
      <c r="H993" s="28"/>
      <c r="I993" s="28"/>
    </row>
    <row r="994">
      <c r="A994" s="80"/>
      <c r="G994" s="28"/>
      <c r="H994" s="28"/>
      <c r="I994" s="28"/>
    </row>
    <row r="995">
      <c r="A995" s="80"/>
      <c r="G995" s="28"/>
      <c r="H995" s="28"/>
      <c r="I995" s="28"/>
    </row>
    <row r="996">
      <c r="A996" s="80"/>
      <c r="G996" s="28"/>
      <c r="H996" s="28"/>
      <c r="I996" s="28"/>
    </row>
    <row r="997">
      <c r="A997" s="80"/>
      <c r="G997" s="28"/>
      <c r="H997" s="28"/>
      <c r="I997" s="28"/>
    </row>
    <row r="998">
      <c r="A998" s="80"/>
      <c r="G998" s="28"/>
      <c r="H998" s="28"/>
      <c r="I998" s="28"/>
    </row>
    <row r="999">
      <c r="A999" s="80"/>
      <c r="G999" s="28"/>
      <c r="H999" s="28"/>
      <c r="I999" s="28"/>
    </row>
  </sheetData>
  <conditionalFormatting sqref="F9:F23">
    <cfRule type="containsText" dxfId="6" priority="1" operator="containsText" text="Sufficienti">
      <formula>NOT(ISERROR(SEARCH(("Sufficienti"),(F9))))</formula>
    </cfRule>
  </conditionalFormatting>
  <conditionalFormatting sqref="F9:F23">
    <cfRule type="containsText" dxfId="7" priority="2" operator="containsText" text="Inviare Avviso">
      <formula>NOT(ISERROR(SEARCH(("Inviare Avviso"),(F9))))</formula>
    </cfRule>
  </conditionalFormatting>
  <conditionalFormatting sqref="G9:G11">
    <cfRule type="containsText" dxfId="8" priority="3" operator="containsText" text="Esauriti">
      <formula>NOT(ISERROR(SEARCH(("Esauriti"),(G9))))</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13"/>
    <col customWidth="1" min="2" max="3" width="12.63"/>
    <col customWidth="1" min="4" max="4" width="13.88"/>
    <col customWidth="1" min="5" max="5" width="11.38"/>
    <col customWidth="1" min="6" max="6" width="13.88"/>
    <col customWidth="1" min="7" max="7" width="17.63"/>
    <col customWidth="1" min="8" max="10" width="13.88"/>
    <col customWidth="1" min="11" max="11" width="22.63"/>
    <col customWidth="1" min="12" max="12" width="18.88"/>
    <col customWidth="1" min="13" max="13" width="20.63"/>
    <col customWidth="1" min="14" max="14" width="28.63"/>
    <col customWidth="1" min="15" max="15" width="72.88"/>
  </cols>
  <sheetData>
    <row r="1" ht="33.75" customHeight="1">
      <c r="A1" s="5" t="s">
        <v>0</v>
      </c>
      <c r="B1" s="5" t="s">
        <v>1</v>
      </c>
      <c r="C1" s="5" t="s">
        <v>2</v>
      </c>
      <c r="D1" s="5" t="s">
        <v>4</v>
      </c>
      <c r="E1" s="5" t="s">
        <v>5</v>
      </c>
      <c r="F1" s="5" t="s">
        <v>6</v>
      </c>
      <c r="G1" s="5" t="s">
        <v>7</v>
      </c>
      <c r="H1" s="8" t="s">
        <v>8</v>
      </c>
      <c r="I1" s="5" t="s">
        <v>9</v>
      </c>
      <c r="J1" s="5" t="s">
        <v>10</v>
      </c>
      <c r="K1" s="5" t="s">
        <v>11</v>
      </c>
      <c r="L1" s="5" t="s">
        <v>12</v>
      </c>
      <c r="N1" s="5" t="s">
        <v>14</v>
      </c>
      <c r="O1" s="5" t="s">
        <v>15</v>
      </c>
      <c r="P1" s="5" t="s">
        <v>16</v>
      </c>
      <c r="Q1" s="10"/>
      <c r="R1" s="10"/>
      <c r="S1" s="10"/>
      <c r="T1" s="10"/>
      <c r="U1" s="11"/>
      <c r="V1" s="11"/>
      <c r="W1" s="11"/>
      <c r="X1" s="11"/>
      <c r="Y1" s="11"/>
      <c r="Z1" s="11"/>
      <c r="AA1" s="11"/>
      <c r="AB1" s="11"/>
      <c r="AC1" s="11"/>
      <c r="AD1" s="11"/>
    </row>
    <row r="2" ht="42.0" customHeight="1">
      <c r="A2" s="12"/>
      <c r="B2" s="14" t="s">
        <v>17</v>
      </c>
      <c r="C2" s="14" t="s">
        <v>18</v>
      </c>
      <c r="D2" s="15">
        <v>42558.0</v>
      </c>
      <c r="E2" s="18">
        <v>6524939.0</v>
      </c>
      <c r="F2" s="18">
        <v>30.0</v>
      </c>
      <c r="G2" s="21"/>
      <c r="H2" s="23">
        <v>27.0</v>
      </c>
      <c r="I2" s="31">
        <f t="shared" ref="I2:I4" si="1">F2-H2</f>
        <v>3</v>
      </c>
      <c r="J2" s="18" t="str">
        <f>IF(I2&gt;M$2, "Sufficienti", "Inviare Avviso")</f>
        <v>Inviare Avviso</v>
      </c>
      <c r="K2" s="12" t="s">
        <v>30</v>
      </c>
      <c r="L2" s="12" t="s">
        <v>32</v>
      </c>
      <c r="M2" s="12">
        <v>5.0</v>
      </c>
      <c r="N2" s="12" t="s">
        <v>33</v>
      </c>
      <c r="O2" s="36" t="s">
        <v>34</v>
      </c>
      <c r="P2" s="41">
        <f>if(L2="Inviato", 1, 0)</f>
        <v>1</v>
      </c>
      <c r="Q2" s="10"/>
      <c r="R2" s="10"/>
      <c r="S2" s="10"/>
      <c r="T2" s="10"/>
      <c r="U2" s="11"/>
      <c r="V2" s="11"/>
      <c r="W2" s="11"/>
      <c r="X2" s="11"/>
      <c r="Y2" s="11"/>
      <c r="Z2" s="11"/>
      <c r="AA2" s="11"/>
      <c r="AB2" s="11"/>
      <c r="AC2" s="11"/>
      <c r="AD2" s="11"/>
    </row>
    <row r="3" ht="42.0" customHeight="1">
      <c r="A3" s="42"/>
      <c r="B3" s="43" t="s">
        <v>38</v>
      </c>
      <c r="C3" s="43" t="s">
        <v>39</v>
      </c>
      <c r="D3" s="44">
        <v>41672.0</v>
      </c>
      <c r="E3" s="46">
        <v>3848055.0</v>
      </c>
      <c r="F3" s="46">
        <v>59.0</v>
      </c>
      <c r="G3" s="47"/>
      <c r="H3" s="48">
        <v>53.0</v>
      </c>
      <c r="I3" s="49">
        <f t="shared" si="1"/>
        <v>6</v>
      </c>
      <c r="J3" s="46" t="str">
        <f t="shared" ref="J3:J4" si="2">IF(I3&gt;M$2, "Sufficienti", "Avviso")</f>
        <v>Sufficienti</v>
      </c>
      <c r="K3" s="43" t="s">
        <v>41</v>
      </c>
      <c r="L3" s="42"/>
      <c r="M3" s="42"/>
      <c r="N3" s="52"/>
      <c r="O3" s="52"/>
      <c r="P3" s="52"/>
      <c r="Q3" s="13"/>
      <c r="R3" s="13"/>
      <c r="S3" s="13"/>
      <c r="T3" s="13"/>
    </row>
    <row r="4" ht="42.0" customHeight="1">
      <c r="A4" s="54"/>
      <c r="B4" s="14" t="s">
        <v>43</v>
      </c>
      <c r="C4" s="14" t="s">
        <v>44</v>
      </c>
      <c r="D4" s="15">
        <v>41804.0</v>
      </c>
      <c r="E4" s="18">
        <v>5969695.0</v>
      </c>
      <c r="F4" s="18">
        <v>80.0</v>
      </c>
      <c r="G4" s="57"/>
      <c r="H4" s="23">
        <v>5.0</v>
      </c>
      <c r="I4" s="31">
        <f t="shared" si="1"/>
        <v>75</v>
      </c>
      <c r="J4" s="18" t="str">
        <f t="shared" si="2"/>
        <v>Sufficienti</v>
      </c>
      <c r="K4" s="14" t="s">
        <v>41</v>
      </c>
      <c r="L4" s="54"/>
      <c r="M4" s="54"/>
      <c r="N4" s="54"/>
      <c r="O4" s="54"/>
      <c r="P4" s="54"/>
      <c r="Q4" s="13"/>
      <c r="R4" s="13"/>
      <c r="S4" s="13"/>
      <c r="T4" s="13"/>
    </row>
    <row r="5" ht="42.0" customHeight="1">
      <c r="A5" s="59"/>
      <c r="B5" s="60"/>
      <c r="C5" s="60"/>
      <c r="D5" s="63"/>
      <c r="E5" s="65"/>
      <c r="F5" s="67"/>
      <c r="G5" s="65"/>
      <c r="H5" s="69"/>
      <c r="I5" s="65"/>
      <c r="J5" s="65"/>
      <c r="K5" s="65"/>
      <c r="L5" s="59"/>
      <c r="M5" s="59"/>
      <c r="N5" s="59"/>
      <c r="O5" s="59"/>
      <c r="P5" s="59"/>
      <c r="Q5" s="13"/>
      <c r="R5" s="13"/>
      <c r="S5" s="13"/>
      <c r="T5" s="13"/>
    </row>
    <row r="6" ht="42.0" customHeight="1">
      <c r="A6" s="71"/>
      <c r="B6" s="72"/>
      <c r="C6" s="72"/>
      <c r="D6" s="73"/>
      <c r="E6" s="74"/>
      <c r="F6" s="75"/>
      <c r="G6" s="74"/>
      <c r="H6" s="76"/>
      <c r="I6" s="74"/>
      <c r="J6" s="74"/>
      <c r="K6" s="74"/>
      <c r="L6" s="71"/>
      <c r="M6" s="71"/>
      <c r="N6" s="71"/>
      <c r="O6" s="71"/>
      <c r="P6" s="71"/>
      <c r="Q6" s="13"/>
      <c r="R6" s="13"/>
      <c r="S6" s="13"/>
      <c r="T6" s="13"/>
    </row>
    <row r="7" ht="42.0" customHeight="1">
      <c r="A7" s="59"/>
      <c r="B7" s="65"/>
      <c r="C7" s="65"/>
      <c r="D7" s="63"/>
      <c r="E7" s="65"/>
      <c r="F7" s="67"/>
      <c r="G7" s="65"/>
      <c r="H7" s="69"/>
      <c r="I7" s="65"/>
      <c r="J7" s="65"/>
      <c r="K7" s="65"/>
      <c r="L7" s="59"/>
      <c r="M7" s="59"/>
      <c r="N7" s="59"/>
      <c r="O7" s="59"/>
      <c r="P7" s="59"/>
      <c r="Q7" s="13"/>
      <c r="R7" s="13"/>
      <c r="S7" s="13"/>
      <c r="T7" s="13"/>
    </row>
    <row r="8" ht="42.0" customHeight="1">
      <c r="A8" s="71"/>
      <c r="B8" s="74"/>
      <c r="C8" s="74"/>
      <c r="D8" s="73"/>
      <c r="E8" s="74"/>
      <c r="F8" s="75"/>
      <c r="G8" s="74"/>
      <c r="H8" s="76"/>
      <c r="I8" s="74"/>
      <c r="J8" s="74"/>
      <c r="K8" s="74"/>
      <c r="L8" s="71"/>
      <c r="M8" s="71"/>
      <c r="N8" s="71"/>
      <c r="O8" s="71"/>
      <c r="P8" s="71"/>
      <c r="Q8" s="13"/>
      <c r="R8" s="13"/>
      <c r="S8" s="13"/>
      <c r="T8" s="13"/>
    </row>
    <row r="9" ht="42.0" customHeight="1">
      <c r="A9" s="59"/>
      <c r="B9" s="65"/>
      <c r="C9" s="65"/>
      <c r="D9" s="63"/>
      <c r="E9" s="78"/>
      <c r="F9" s="67"/>
      <c r="G9" s="65"/>
      <c r="H9" s="69"/>
      <c r="I9" s="65"/>
      <c r="J9" s="65"/>
      <c r="K9" s="65"/>
      <c r="L9" s="59"/>
      <c r="M9" s="59"/>
      <c r="N9" s="59"/>
      <c r="O9" s="59"/>
      <c r="P9" s="59"/>
      <c r="Q9" s="13"/>
      <c r="R9" s="13"/>
      <c r="S9" s="13"/>
      <c r="T9" s="13"/>
    </row>
    <row r="10">
      <c r="A10" s="71"/>
      <c r="B10" s="74"/>
      <c r="C10" s="74"/>
      <c r="D10" s="73"/>
      <c r="E10" s="74"/>
      <c r="F10" s="75"/>
      <c r="G10" s="74"/>
      <c r="H10" s="76"/>
      <c r="I10" s="74"/>
      <c r="J10" s="74"/>
      <c r="K10" s="74"/>
      <c r="L10" s="71"/>
      <c r="M10" s="71"/>
      <c r="N10" s="71"/>
      <c r="O10" s="71"/>
      <c r="P10" s="71"/>
      <c r="Q10" s="13"/>
      <c r="R10" s="13"/>
      <c r="S10" s="13"/>
      <c r="T10" s="13"/>
    </row>
    <row r="11">
      <c r="A11" s="59"/>
      <c r="B11" s="65"/>
      <c r="C11" s="65"/>
      <c r="D11" s="63"/>
      <c r="E11" s="65"/>
      <c r="F11" s="67"/>
      <c r="G11" s="65"/>
      <c r="H11" s="69"/>
      <c r="I11" s="65"/>
      <c r="J11" s="65"/>
      <c r="K11" s="65"/>
      <c r="L11" s="59"/>
      <c r="M11" s="59"/>
      <c r="N11" s="59"/>
      <c r="O11" s="59"/>
      <c r="P11" s="59"/>
      <c r="Q11" s="13"/>
      <c r="R11" s="13"/>
      <c r="S11" s="13"/>
      <c r="T11" s="13"/>
    </row>
    <row r="12">
      <c r="A12" s="71"/>
      <c r="B12" s="74"/>
      <c r="C12" s="74"/>
      <c r="D12" s="73"/>
      <c r="E12" s="74"/>
      <c r="F12" s="75"/>
      <c r="G12" s="74"/>
      <c r="H12" s="76"/>
      <c r="I12" s="74"/>
      <c r="J12" s="74"/>
      <c r="K12" s="74"/>
      <c r="L12" s="71"/>
      <c r="M12" s="71"/>
      <c r="N12" s="71"/>
      <c r="O12" s="71"/>
      <c r="P12" s="71"/>
      <c r="Q12" s="13"/>
      <c r="R12" s="13"/>
      <c r="S12" s="13"/>
      <c r="T12" s="13"/>
    </row>
    <row r="13">
      <c r="A13" s="59"/>
      <c r="B13" s="65"/>
      <c r="C13" s="65"/>
      <c r="D13" s="63"/>
      <c r="E13" s="65"/>
      <c r="F13" s="67"/>
      <c r="G13" s="65"/>
      <c r="H13" s="69"/>
      <c r="I13" s="65"/>
      <c r="J13" s="65"/>
      <c r="K13" s="65"/>
      <c r="L13" s="59"/>
      <c r="M13" s="59"/>
      <c r="N13" s="59"/>
      <c r="O13" s="59"/>
      <c r="P13" s="59"/>
      <c r="Q13" s="13"/>
      <c r="R13" s="13"/>
      <c r="S13" s="13"/>
      <c r="T13" s="13"/>
    </row>
    <row r="14">
      <c r="A14" s="71"/>
      <c r="B14" s="74"/>
      <c r="C14" s="74"/>
      <c r="D14" s="73"/>
      <c r="E14" s="74"/>
      <c r="F14" s="75"/>
      <c r="G14" s="74"/>
      <c r="H14" s="76"/>
      <c r="I14" s="74"/>
      <c r="J14" s="74"/>
      <c r="K14" s="74"/>
      <c r="L14" s="71"/>
      <c r="M14" s="71"/>
      <c r="N14" s="71"/>
      <c r="O14" s="71"/>
      <c r="P14" s="71"/>
      <c r="Q14" s="13"/>
      <c r="R14" s="13"/>
      <c r="S14" s="13"/>
      <c r="T14" s="13"/>
    </row>
    <row r="15">
      <c r="A15" s="59"/>
      <c r="B15" s="65"/>
      <c r="C15" s="65"/>
      <c r="D15" s="63"/>
      <c r="E15" s="65"/>
      <c r="F15" s="67"/>
      <c r="G15" s="65"/>
      <c r="H15" s="69"/>
      <c r="I15" s="65"/>
      <c r="J15" s="65"/>
      <c r="K15" s="65"/>
      <c r="L15" s="59"/>
      <c r="M15" s="59"/>
      <c r="N15" s="59"/>
      <c r="O15" s="59"/>
      <c r="P15" s="59"/>
      <c r="Q15" s="13"/>
      <c r="R15" s="13"/>
      <c r="S15" s="13"/>
      <c r="T15" s="13"/>
    </row>
    <row r="16">
      <c r="A16" s="71"/>
      <c r="B16" s="74"/>
      <c r="C16" s="74"/>
      <c r="D16" s="73"/>
      <c r="E16" s="74"/>
      <c r="F16" s="75"/>
      <c r="G16" s="74"/>
      <c r="H16" s="76"/>
      <c r="I16" s="74"/>
      <c r="J16" s="74"/>
      <c r="K16" s="74"/>
      <c r="L16" s="71"/>
      <c r="M16" s="71"/>
      <c r="N16" s="71"/>
      <c r="O16" s="71"/>
      <c r="P16" s="71"/>
      <c r="Q16" s="13"/>
      <c r="R16" s="13"/>
      <c r="S16" s="13"/>
      <c r="T16" s="13"/>
    </row>
    <row r="17">
      <c r="A17" s="59"/>
      <c r="B17" s="65"/>
      <c r="C17" s="65"/>
      <c r="D17" s="63"/>
      <c r="E17" s="65"/>
      <c r="F17" s="67"/>
      <c r="G17" s="65"/>
      <c r="H17" s="69"/>
      <c r="I17" s="65"/>
      <c r="J17" s="65"/>
      <c r="K17" s="65"/>
      <c r="L17" s="59"/>
      <c r="M17" s="59"/>
      <c r="N17" s="59"/>
      <c r="O17" s="59"/>
      <c r="P17" s="59"/>
      <c r="Q17" s="13"/>
      <c r="R17" s="13"/>
      <c r="S17" s="13"/>
      <c r="T17" s="13"/>
    </row>
    <row r="18">
      <c r="A18" s="71"/>
      <c r="B18" s="74"/>
      <c r="C18" s="74"/>
      <c r="D18" s="73"/>
      <c r="E18" s="74"/>
      <c r="F18" s="75"/>
      <c r="G18" s="74"/>
      <c r="H18" s="76"/>
      <c r="I18" s="74"/>
      <c r="J18" s="74"/>
      <c r="K18" s="74"/>
      <c r="L18" s="71"/>
      <c r="M18" s="71"/>
      <c r="N18" s="71"/>
      <c r="O18" s="71"/>
      <c r="P18" s="71"/>
      <c r="Q18" s="13"/>
      <c r="R18" s="13"/>
      <c r="S18" s="13"/>
      <c r="T18" s="13"/>
    </row>
    <row r="19">
      <c r="A19" s="59"/>
      <c r="B19" s="65"/>
      <c r="C19" s="65"/>
      <c r="D19" s="63"/>
      <c r="E19" s="65"/>
      <c r="F19" s="67"/>
      <c r="G19" s="65"/>
      <c r="H19" s="69"/>
      <c r="I19" s="65"/>
      <c r="J19" s="65"/>
      <c r="K19" s="65"/>
      <c r="L19" s="59"/>
      <c r="M19" s="59"/>
      <c r="N19" s="59"/>
      <c r="O19" s="59"/>
      <c r="P19" s="59"/>
      <c r="Q19" s="13"/>
      <c r="R19" s="13"/>
      <c r="S19" s="13"/>
      <c r="T19" s="13"/>
    </row>
    <row r="20">
      <c r="A20" s="71"/>
      <c r="B20" s="74"/>
      <c r="C20" s="74"/>
      <c r="D20" s="73"/>
      <c r="E20" s="74"/>
      <c r="F20" s="75"/>
      <c r="G20" s="74"/>
      <c r="H20" s="76"/>
      <c r="I20" s="74"/>
      <c r="J20" s="74"/>
      <c r="K20" s="74"/>
      <c r="L20" s="71"/>
      <c r="M20" s="71"/>
      <c r="N20" s="71"/>
      <c r="O20" s="71"/>
      <c r="P20" s="71"/>
      <c r="Q20" s="13"/>
      <c r="R20" s="13"/>
      <c r="S20" s="13"/>
      <c r="T20" s="13"/>
    </row>
    <row r="21">
      <c r="A21" s="59"/>
      <c r="B21" s="65"/>
      <c r="C21" s="65"/>
      <c r="D21" s="63"/>
      <c r="E21" s="65"/>
      <c r="F21" s="67"/>
      <c r="G21" s="65"/>
      <c r="H21" s="69"/>
      <c r="I21" s="65"/>
      <c r="J21" s="65"/>
      <c r="K21" s="65"/>
      <c r="L21" s="59"/>
      <c r="M21" s="59"/>
      <c r="N21" s="59"/>
      <c r="O21" s="59"/>
      <c r="P21" s="59"/>
      <c r="Q21" s="13"/>
      <c r="R21" s="13"/>
      <c r="S21" s="13"/>
      <c r="T21" s="13"/>
    </row>
    <row r="22">
      <c r="A22" s="71"/>
      <c r="B22" s="74"/>
      <c r="C22" s="74"/>
      <c r="D22" s="73"/>
      <c r="E22" s="74"/>
      <c r="F22" s="75"/>
      <c r="G22" s="74"/>
      <c r="H22" s="76"/>
      <c r="I22" s="74"/>
      <c r="J22" s="74"/>
      <c r="K22" s="74"/>
      <c r="L22" s="71"/>
      <c r="M22" s="71"/>
      <c r="N22" s="71"/>
      <c r="O22" s="71"/>
      <c r="P22" s="71"/>
      <c r="Q22" s="13"/>
      <c r="R22" s="13"/>
      <c r="S22" s="13"/>
      <c r="T22" s="13"/>
    </row>
    <row r="23">
      <c r="A23" s="59"/>
      <c r="B23" s="65"/>
      <c r="C23" s="65"/>
      <c r="D23" s="63"/>
      <c r="E23" s="65"/>
      <c r="F23" s="67"/>
      <c r="G23" s="65"/>
      <c r="H23" s="69"/>
      <c r="I23" s="65"/>
      <c r="J23" s="65"/>
      <c r="K23" s="65"/>
      <c r="L23" s="59"/>
      <c r="M23" s="59"/>
      <c r="N23" s="59"/>
      <c r="O23" s="59"/>
      <c r="P23" s="59"/>
      <c r="Q23" s="13"/>
      <c r="R23" s="13"/>
      <c r="S23" s="13"/>
      <c r="T23" s="13"/>
    </row>
    <row r="24">
      <c r="A24" s="71"/>
      <c r="B24" s="74"/>
      <c r="C24" s="74"/>
      <c r="D24" s="73"/>
      <c r="E24" s="74"/>
      <c r="F24" s="75"/>
      <c r="G24" s="74"/>
      <c r="H24" s="76"/>
      <c r="I24" s="74"/>
      <c r="J24" s="74"/>
      <c r="K24" s="74"/>
      <c r="L24" s="71"/>
      <c r="M24" s="71"/>
      <c r="N24" s="71"/>
      <c r="O24" s="71"/>
      <c r="P24" s="71"/>
      <c r="Q24" s="13"/>
      <c r="R24" s="13"/>
      <c r="S24" s="13"/>
      <c r="T24" s="13"/>
    </row>
    <row r="25">
      <c r="A25" s="59"/>
      <c r="B25" s="65"/>
      <c r="C25" s="65"/>
      <c r="D25" s="63"/>
      <c r="E25" s="65"/>
      <c r="F25" s="67"/>
      <c r="G25" s="65"/>
      <c r="H25" s="69"/>
      <c r="I25" s="65"/>
      <c r="J25" s="65"/>
      <c r="K25" s="65"/>
      <c r="L25" s="59"/>
      <c r="M25" s="59"/>
      <c r="N25" s="59"/>
      <c r="O25" s="59"/>
      <c r="P25" s="59"/>
      <c r="Q25" s="13"/>
      <c r="R25" s="13"/>
      <c r="S25" s="13"/>
      <c r="T25" s="13"/>
    </row>
    <row r="26">
      <c r="A26" s="71"/>
      <c r="B26" s="74"/>
      <c r="C26" s="74"/>
      <c r="D26" s="73"/>
      <c r="E26" s="74"/>
      <c r="F26" s="75"/>
      <c r="G26" s="74"/>
      <c r="H26" s="76"/>
      <c r="I26" s="74"/>
      <c r="J26" s="74"/>
      <c r="K26" s="74"/>
      <c r="L26" s="71"/>
      <c r="M26" s="71"/>
      <c r="N26" s="71"/>
      <c r="O26" s="71"/>
      <c r="P26" s="71"/>
      <c r="Q26" s="13"/>
      <c r="R26" s="13"/>
      <c r="S26" s="13"/>
      <c r="T26" s="13"/>
    </row>
    <row r="27">
      <c r="A27" s="59"/>
      <c r="B27" s="65"/>
      <c r="C27" s="65"/>
      <c r="D27" s="63"/>
      <c r="E27" s="65"/>
      <c r="F27" s="67"/>
      <c r="G27" s="65"/>
      <c r="H27" s="69"/>
      <c r="I27" s="65"/>
      <c r="J27" s="65"/>
      <c r="K27" s="65"/>
      <c r="L27" s="59"/>
      <c r="M27" s="59"/>
      <c r="N27" s="59"/>
      <c r="O27" s="59"/>
      <c r="P27" s="59"/>
      <c r="Q27" s="13"/>
      <c r="R27" s="13"/>
      <c r="S27" s="13"/>
      <c r="T27" s="13"/>
    </row>
    <row r="28">
      <c r="A28" s="71"/>
      <c r="B28" s="74"/>
      <c r="C28" s="74"/>
      <c r="D28" s="73"/>
      <c r="E28" s="74"/>
      <c r="F28" s="75"/>
      <c r="G28" s="74"/>
      <c r="H28" s="76"/>
      <c r="I28" s="74"/>
      <c r="J28" s="74"/>
      <c r="K28" s="74"/>
      <c r="L28" s="71"/>
      <c r="M28" s="71"/>
      <c r="N28" s="71"/>
      <c r="O28" s="71"/>
      <c r="P28" s="71"/>
      <c r="Q28" s="13"/>
      <c r="R28" s="13"/>
      <c r="S28" s="13"/>
      <c r="T28" s="13"/>
    </row>
    <row r="29">
      <c r="A29" s="59"/>
      <c r="B29" s="65"/>
      <c r="C29" s="65"/>
      <c r="D29" s="63"/>
      <c r="E29" s="65"/>
      <c r="F29" s="67"/>
      <c r="G29" s="65"/>
      <c r="H29" s="69"/>
      <c r="I29" s="65"/>
      <c r="J29" s="65"/>
      <c r="K29" s="65"/>
      <c r="L29" s="59"/>
      <c r="M29" s="59"/>
      <c r="N29" s="59"/>
      <c r="O29" s="59"/>
      <c r="P29" s="59"/>
      <c r="Q29" s="13"/>
      <c r="R29" s="13"/>
      <c r="S29" s="13"/>
      <c r="T29" s="13"/>
    </row>
    <row r="30">
      <c r="A30" s="71"/>
      <c r="B30" s="74"/>
      <c r="C30" s="74"/>
      <c r="D30" s="73"/>
      <c r="E30" s="74"/>
      <c r="F30" s="75"/>
      <c r="G30" s="74"/>
      <c r="H30" s="76"/>
      <c r="I30" s="74"/>
      <c r="J30" s="74"/>
      <c r="K30" s="74"/>
      <c r="L30" s="71"/>
      <c r="M30" s="71"/>
      <c r="N30" s="71"/>
      <c r="O30" s="71"/>
      <c r="P30" s="71"/>
      <c r="Q30" s="13"/>
      <c r="R30" s="13"/>
      <c r="S30" s="13"/>
      <c r="T30" s="13"/>
    </row>
    <row r="31">
      <c r="A31" s="80"/>
      <c r="B31" s="88"/>
      <c r="C31" s="88"/>
      <c r="D31" s="88"/>
      <c r="E31" s="88"/>
      <c r="F31" s="89"/>
      <c r="G31" s="88"/>
      <c r="H31" s="90"/>
      <c r="I31" s="88"/>
      <c r="J31" s="88"/>
      <c r="K31" s="88"/>
      <c r="M31" s="91"/>
      <c r="N31" s="91"/>
      <c r="O31" s="91"/>
      <c r="P31" s="91"/>
    </row>
    <row r="32">
      <c r="A32" s="80"/>
      <c r="B32" s="88"/>
      <c r="C32" s="88"/>
      <c r="D32" s="88"/>
      <c r="E32" s="88"/>
      <c r="F32" s="89"/>
      <c r="G32" s="88"/>
      <c r="H32" s="90"/>
      <c r="I32" s="88"/>
      <c r="J32" s="88"/>
      <c r="K32" s="88"/>
      <c r="M32" s="91"/>
      <c r="N32" s="91"/>
      <c r="O32" s="91"/>
      <c r="P32" s="91"/>
    </row>
    <row r="33">
      <c r="A33" s="80"/>
      <c r="B33" s="88"/>
      <c r="C33" s="88"/>
      <c r="D33" s="88"/>
      <c r="E33" s="88"/>
      <c r="F33" s="89"/>
      <c r="G33" s="88"/>
      <c r="H33" s="90"/>
      <c r="I33" s="88"/>
      <c r="J33" s="88"/>
      <c r="K33" s="88"/>
      <c r="M33" s="91"/>
      <c r="N33" s="91"/>
      <c r="O33" s="91"/>
      <c r="P33" s="91"/>
    </row>
    <row r="34">
      <c r="A34" s="80"/>
      <c r="B34" s="88"/>
      <c r="C34" s="88"/>
      <c r="D34" s="88"/>
      <c r="E34" s="88"/>
      <c r="F34" s="89"/>
      <c r="G34" s="88"/>
      <c r="H34" s="90"/>
      <c r="I34" s="88"/>
      <c r="J34" s="88"/>
      <c r="K34" s="88"/>
      <c r="M34" s="91"/>
      <c r="N34" s="91"/>
      <c r="O34" s="91"/>
      <c r="P34" s="91"/>
    </row>
    <row r="35">
      <c r="A35" s="80"/>
      <c r="B35" s="88"/>
      <c r="C35" s="88"/>
      <c r="D35" s="88"/>
      <c r="E35" s="88"/>
      <c r="F35" s="89"/>
      <c r="G35" s="88"/>
      <c r="H35" s="90"/>
      <c r="I35" s="88"/>
      <c r="J35" s="88"/>
      <c r="K35" s="88"/>
      <c r="M35" s="91"/>
      <c r="N35" s="91"/>
      <c r="O35" s="91"/>
      <c r="P35" s="91"/>
    </row>
    <row r="36">
      <c r="A36" s="80"/>
      <c r="B36" s="88"/>
      <c r="C36" s="88"/>
      <c r="D36" s="88"/>
      <c r="E36" s="88"/>
      <c r="F36" s="89"/>
      <c r="G36" s="88"/>
      <c r="H36" s="90"/>
      <c r="I36" s="88"/>
      <c r="J36" s="88"/>
      <c r="K36" s="88"/>
      <c r="M36" s="91"/>
      <c r="N36" s="91"/>
      <c r="O36" s="91"/>
      <c r="P36" s="91"/>
    </row>
    <row r="37">
      <c r="A37" s="80"/>
      <c r="F37" s="92"/>
      <c r="H37" s="93"/>
      <c r="M37" s="91"/>
    </row>
    <row r="38">
      <c r="A38" s="80"/>
      <c r="F38" s="92"/>
      <c r="H38" s="93"/>
      <c r="M38" s="91"/>
    </row>
    <row r="39">
      <c r="A39" s="80"/>
      <c r="F39" s="92"/>
      <c r="H39" s="93"/>
      <c r="M39" s="91"/>
    </row>
    <row r="40">
      <c r="A40" s="80"/>
      <c r="F40" s="92"/>
      <c r="H40" s="93"/>
      <c r="M40" s="91"/>
    </row>
    <row r="41">
      <c r="A41" s="80"/>
      <c r="F41" s="92"/>
      <c r="H41" s="93"/>
      <c r="M41" s="91"/>
    </row>
    <row r="42">
      <c r="A42" s="80"/>
      <c r="F42" s="92"/>
      <c r="H42" s="93"/>
      <c r="M42" s="91"/>
    </row>
    <row r="43">
      <c r="A43" s="80"/>
      <c r="F43" s="92"/>
      <c r="H43" s="93"/>
      <c r="M43" s="91"/>
    </row>
    <row r="44">
      <c r="A44" s="80"/>
      <c r="F44" s="92"/>
      <c r="H44" s="93"/>
      <c r="M44" s="91"/>
    </row>
    <row r="45">
      <c r="A45" s="80"/>
      <c r="F45" s="92"/>
      <c r="H45" s="93"/>
      <c r="M45" s="91"/>
    </row>
    <row r="46">
      <c r="A46" s="80"/>
      <c r="F46" s="92"/>
      <c r="H46" s="93"/>
      <c r="M46" s="91"/>
    </row>
    <row r="47">
      <c r="A47" s="80"/>
      <c r="F47" s="92"/>
      <c r="H47" s="93"/>
      <c r="M47" s="91"/>
    </row>
    <row r="48">
      <c r="A48" s="80"/>
      <c r="F48" s="92"/>
      <c r="H48" s="93"/>
      <c r="M48" s="91"/>
    </row>
    <row r="49">
      <c r="A49" s="80"/>
      <c r="F49" s="92"/>
      <c r="H49" s="93"/>
      <c r="M49" s="91"/>
    </row>
    <row r="50">
      <c r="A50" s="80"/>
      <c r="F50" s="92"/>
      <c r="H50" s="93"/>
      <c r="M50" s="91"/>
    </row>
    <row r="51">
      <c r="A51" s="80"/>
      <c r="F51" s="92"/>
      <c r="H51" s="93"/>
      <c r="M51" s="91"/>
    </row>
    <row r="52">
      <c r="A52" s="80"/>
      <c r="F52" s="92"/>
      <c r="H52" s="93"/>
      <c r="M52" s="91"/>
    </row>
    <row r="53">
      <c r="A53" s="80"/>
      <c r="F53" s="92"/>
      <c r="H53" s="93"/>
      <c r="M53" s="91"/>
    </row>
    <row r="54">
      <c r="A54" s="80"/>
      <c r="F54" s="92"/>
      <c r="H54" s="93"/>
      <c r="M54" s="91"/>
    </row>
    <row r="55">
      <c r="A55" s="80"/>
      <c r="F55" s="92"/>
      <c r="H55" s="93"/>
      <c r="M55" s="91"/>
    </row>
    <row r="56">
      <c r="A56" s="80"/>
      <c r="F56" s="92"/>
      <c r="H56" s="93"/>
      <c r="M56" s="91"/>
    </row>
    <row r="57">
      <c r="A57" s="80"/>
      <c r="F57" s="92"/>
      <c r="H57" s="93"/>
      <c r="M57" s="91"/>
    </row>
    <row r="58">
      <c r="A58" s="80"/>
      <c r="F58" s="92"/>
      <c r="H58" s="93"/>
      <c r="M58" s="91"/>
    </row>
    <row r="59">
      <c r="A59" s="80"/>
      <c r="F59" s="92"/>
      <c r="H59" s="93"/>
      <c r="M59" s="91"/>
    </row>
    <row r="60">
      <c r="A60" s="80"/>
      <c r="F60" s="92"/>
      <c r="H60" s="93"/>
      <c r="M60" s="91"/>
    </row>
    <row r="61">
      <c r="A61" s="80"/>
      <c r="F61" s="92"/>
      <c r="H61" s="93"/>
      <c r="M61" s="91"/>
    </row>
    <row r="62">
      <c r="A62" s="80"/>
      <c r="F62" s="92"/>
      <c r="H62" s="93"/>
      <c r="M62" s="91"/>
    </row>
    <row r="63">
      <c r="A63" s="80"/>
      <c r="F63" s="92"/>
      <c r="H63" s="93"/>
      <c r="M63" s="91"/>
    </row>
    <row r="64">
      <c r="A64" s="80"/>
      <c r="F64" s="92"/>
      <c r="H64" s="93"/>
      <c r="M64" s="91"/>
    </row>
    <row r="65">
      <c r="A65" s="80"/>
      <c r="F65" s="92"/>
      <c r="H65" s="93"/>
      <c r="M65" s="91"/>
    </row>
    <row r="66">
      <c r="A66" s="80"/>
      <c r="F66" s="92"/>
      <c r="H66" s="93"/>
      <c r="M66" s="91"/>
    </row>
    <row r="67">
      <c r="A67" s="80"/>
      <c r="F67" s="92"/>
      <c r="H67" s="93"/>
      <c r="M67" s="91"/>
    </row>
    <row r="68">
      <c r="A68" s="80"/>
      <c r="F68" s="92"/>
      <c r="H68" s="93"/>
      <c r="M68" s="91"/>
    </row>
    <row r="69">
      <c r="A69" s="80"/>
      <c r="F69" s="92"/>
      <c r="H69" s="93"/>
      <c r="M69" s="91"/>
    </row>
    <row r="70">
      <c r="A70" s="80"/>
      <c r="F70" s="92"/>
      <c r="H70" s="93"/>
      <c r="M70" s="91"/>
    </row>
    <row r="71">
      <c r="A71" s="80"/>
      <c r="F71" s="92"/>
      <c r="H71" s="93"/>
      <c r="M71" s="91"/>
    </row>
    <row r="72">
      <c r="A72" s="80"/>
      <c r="F72" s="92"/>
      <c r="H72" s="93"/>
      <c r="M72" s="91"/>
    </row>
    <row r="73">
      <c r="A73" s="80"/>
      <c r="F73" s="92"/>
      <c r="H73" s="93"/>
      <c r="M73" s="91"/>
    </row>
    <row r="74">
      <c r="A74" s="80"/>
      <c r="F74" s="92"/>
      <c r="H74" s="93"/>
      <c r="M74" s="91"/>
    </row>
    <row r="75">
      <c r="A75" s="80"/>
      <c r="F75" s="92"/>
      <c r="H75" s="93"/>
      <c r="M75" s="91"/>
    </row>
    <row r="76">
      <c r="A76" s="80"/>
      <c r="F76" s="92"/>
      <c r="H76" s="93"/>
      <c r="M76" s="91"/>
    </row>
    <row r="77">
      <c r="A77" s="80"/>
      <c r="F77" s="92"/>
      <c r="H77" s="93"/>
      <c r="M77" s="91"/>
    </row>
    <row r="78">
      <c r="A78" s="80"/>
      <c r="F78" s="92"/>
      <c r="H78" s="93"/>
      <c r="M78" s="91"/>
    </row>
    <row r="79">
      <c r="A79" s="80"/>
      <c r="F79" s="92"/>
      <c r="H79" s="93"/>
      <c r="M79" s="91"/>
    </row>
    <row r="80">
      <c r="A80" s="80"/>
      <c r="F80" s="92"/>
      <c r="H80" s="93"/>
      <c r="M80" s="91"/>
    </row>
    <row r="81">
      <c r="A81" s="80"/>
      <c r="F81" s="92"/>
      <c r="H81" s="93"/>
      <c r="M81" s="91"/>
    </row>
    <row r="82">
      <c r="A82" s="80"/>
      <c r="F82" s="92"/>
      <c r="H82" s="93"/>
      <c r="M82" s="91"/>
    </row>
    <row r="83">
      <c r="A83" s="80"/>
      <c r="F83" s="92"/>
      <c r="H83" s="93"/>
      <c r="M83" s="91"/>
    </row>
    <row r="84">
      <c r="A84" s="80"/>
      <c r="F84" s="92"/>
      <c r="H84" s="93"/>
      <c r="M84" s="91"/>
    </row>
    <row r="85">
      <c r="A85" s="80"/>
      <c r="F85" s="92"/>
      <c r="H85" s="93"/>
      <c r="M85" s="91"/>
    </row>
    <row r="86">
      <c r="A86" s="80"/>
      <c r="F86" s="92"/>
      <c r="H86" s="93"/>
      <c r="M86" s="91"/>
    </row>
    <row r="87">
      <c r="A87" s="80"/>
      <c r="F87" s="92"/>
      <c r="H87" s="93"/>
      <c r="M87" s="91"/>
    </row>
    <row r="88">
      <c r="A88" s="80"/>
      <c r="F88" s="92"/>
      <c r="H88" s="93"/>
      <c r="M88" s="91"/>
    </row>
    <row r="89">
      <c r="A89" s="80"/>
      <c r="F89" s="92"/>
      <c r="H89" s="93"/>
      <c r="M89" s="91"/>
    </row>
    <row r="90">
      <c r="A90" s="80"/>
      <c r="F90" s="92"/>
      <c r="H90" s="93"/>
      <c r="M90" s="91"/>
    </row>
    <row r="91">
      <c r="A91" s="80"/>
      <c r="F91" s="92"/>
      <c r="H91" s="93"/>
      <c r="M91" s="91"/>
    </row>
    <row r="92">
      <c r="A92" s="80"/>
      <c r="F92" s="92"/>
      <c r="H92" s="93"/>
      <c r="M92" s="91"/>
    </row>
    <row r="93">
      <c r="A93" s="80"/>
      <c r="F93" s="92"/>
      <c r="H93" s="93"/>
      <c r="M93" s="91"/>
    </row>
    <row r="94">
      <c r="A94" s="80"/>
      <c r="F94" s="92"/>
      <c r="H94" s="93"/>
      <c r="M94" s="91"/>
    </row>
    <row r="95">
      <c r="A95" s="80"/>
      <c r="F95" s="92"/>
      <c r="H95" s="93"/>
      <c r="M95" s="91"/>
    </row>
    <row r="96">
      <c r="A96" s="80"/>
      <c r="F96" s="92"/>
      <c r="H96" s="93"/>
      <c r="M96" s="91"/>
    </row>
    <row r="97">
      <c r="A97" s="80"/>
      <c r="F97" s="92"/>
      <c r="H97" s="93"/>
      <c r="M97" s="91"/>
    </row>
    <row r="98">
      <c r="A98" s="80"/>
      <c r="F98" s="92"/>
      <c r="H98" s="93"/>
      <c r="M98" s="91"/>
    </row>
    <row r="99">
      <c r="A99" s="80"/>
      <c r="F99" s="92"/>
      <c r="H99" s="93"/>
      <c r="M99" s="91"/>
    </row>
    <row r="100">
      <c r="A100" s="80"/>
      <c r="F100" s="92"/>
      <c r="H100" s="93"/>
      <c r="M100" s="91"/>
    </row>
    <row r="101">
      <c r="A101" s="80"/>
      <c r="F101" s="92"/>
      <c r="H101" s="93"/>
      <c r="M101" s="91"/>
    </row>
    <row r="102">
      <c r="A102" s="80"/>
      <c r="F102" s="92"/>
      <c r="H102" s="93"/>
      <c r="M102" s="91"/>
    </row>
    <row r="103">
      <c r="A103" s="80"/>
      <c r="F103" s="92"/>
      <c r="H103" s="93"/>
      <c r="M103" s="91"/>
    </row>
    <row r="104">
      <c r="A104" s="80"/>
      <c r="F104" s="92"/>
      <c r="H104" s="93"/>
      <c r="M104" s="91"/>
    </row>
    <row r="105">
      <c r="A105" s="80"/>
      <c r="F105" s="92"/>
      <c r="H105" s="93"/>
      <c r="M105" s="91"/>
    </row>
    <row r="106">
      <c r="A106" s="80"/>
      <c r="F106" s="92"/>
      <c r="H106" s="93"/>
      <c r="M106" s="91"/>
    </row>
    <row r="107">
      <c r="A107" s="80"/>
      <c r="F107" s="92"/>
      <c r="H107" s="93"/>
      <c r="M107" s="91"/>
    </row>
    <row r="108">
      <c r="A108" s="80"/>
      <c r="F108" s="92"/>
      <c r="H108" s="93"/>
      <c r="M108" s="91"/>
    </row>
    <row r="109">
      <c r="A109" s="80"/>
      <c r="F109" s="92"/>
      <c r="H109" s="93"/>
      <c r="M109" s="91"/>
    </row>
    <row r="110">
      <c r="A110" s="80"/>
      <c r="F110" s="92"/>
      <c r="H110" s="93"/>
      <c r="M110" s="91"/>
    </row>
    <row r="111">
      <c r="A111" s="80"/>
      <c r="F111" s="92"/>
      <c r="H111" s="93"/>
      <c r="M111" s="91"/>
    </row>
    <row r="112">
      <c r="A112" s="80"/>
      <c r="F112" s="92"/>
      <c r="H112" s="93"/>
      <c r="M112" s="91"/>
    </row>
    <row r="113">
      <c r="A113" s="80"/>
      <c r="F113" s="92"/>
      <c r="H113" s="93"/>
      <c r="M113" s="91"/>
    </row>
    <row r="114">
      <c r="A114" s="80"/>
      <c r="F114" s="92"/>
      <c r="H114" s="93"/>
      <c r="M114" s="91"/>
    </row>
    <row r="115">
      <c r="A115" s="80"/>
      <c r="F115" s="92"/>
      <c r="H115" s="93"/>
      <c r="M115" s="91"/>
    </row>
    <row r="116">
      <c r="A116" s="80"/>
      <c r="F116" s="92"/>
      <c r="H116" s="93"/>
      <c r="M116" s="91"/>
    </row>
    <row r="117">
      <c r="A117" s="80"/>
      <c r="F117" s="92"/>
      <c r="H117" s="93"/>
      <c r="M117" s="91"/>
    </row>
    <row r="118">
      <c r="A118" s="80"/>
      <c r="F118" s="92"/>
      <c r="H118" s="93"/>
      <c r="M118" s="91"/>
    </row>
    <row r="119">
      <c r="A119" s="80"/>
      <c r="F119" s="92"/>
      <c r="H119" s="93"/>
      <c r="M119" s="91"/>
    </row>
    <row r="120">
      <c r="A120" s="80"/>
      <c r="F120" s="92"/>
      <c r="H120" s="93"/>
      <c r="M120" s="91"/>
    </row>
    <row r="121">
      <c r="A121" s="80"/>
      <c r="F121" s="92"/>
      <c r="H121" s="93"/>
      <c r="M121" s="91"/>
    </row>
    <row r="122">
      <c r="A122" s="80"/>
      <c r="F122" s="92"/>
      <c r="H122" s="93"/>
      <c r="M122" s="91"/>
    </row>
    <row r="123">
      <c r="A123" s="80"/>
      <c r="F123" s="92"/>
      <c r="H123" s="93"/>
      <c r="M123" s="91"/>
    </row>
    <row r="124">
      <c r="A124" s="80"/>
      <c r="F124" s="92"/>
      <c r="H124" s="93"/>
      <c r="M124" s="91"/>
    </row>
    <row r="125">
      <c r="A125" s="80"/>
      <c r="F125" s="92"/>
      <c r="H125" s="93"/>
      <c r="M125" s="91"/>
    </row>
    <row r="126">
      <c r="A126" s="80"/>
      <c r="F126" s="92"/>
      <c r="H126" s="93"/>
      <c r="M126" s="91"/>
    </row>
    <row r="127">
      <c r="A127" s="80"/>
      <c r="F127" s="92"/>
      <c r="H127" s="93"/>
      <c r="M127" s="91"/>
    </row>
    <row r="128">
      <c r="A128" s="80"/>
      <c r="F128" s="92"/>
      <c r="H128" s="93"/>
      <c r="M128" s="91"/>
    </row>
    <row r="129">
      <c r="A129" s="80"/>
      <c r="F129" s="92"/>
      <c r="H129" s="93"/>
      <c r="M129" s="91"/>
    </row>
    <row r="130">
      <c r="A130" s="80"/>
      <c r="F130" s="92"/>
      <c r="H130" s="93"/>
      <c r="M130" s="91"/>
    </row>
    <row r="131">
      <c r="A131" s="80"/>
      <c r="F131" s="92"/>
      <c r="H131" s="93"/>
      <c r="M131" s="91"/>
    </row>
    <row r="132">
      <c r="A132" s="80"/>
      <c r="F132" s="92"/>
      <c r="H132" s="93"/>
      <c r="M132" s="91"/>
    </row>
    <row r="133">
      <c r="A133" s="80"/>
      <c r="F133" s="92"/>
      <c r="H133" s="93"/>
      <c r="M133" s="91"/>
    </row>
    <row r="134">
      <c r="A134" s="80"/>
      <c r="F134" s="92"/>
      <c r="H134" s="93"/>
      <c r="M134" s="91"/>
    </row>
    <row r="135">
      <c r="A135" s="80"/>
      <c r="F135" s="92"/>
      <c r="H135" s="93"/>
      <c r="M135" s="91"/>
    </row>
    <row r="136">
      <c r="A136" s="80"/>
      <c r="F136" s="92"/>
      <c r="H136" s="93"/>
      <c r="M136" s="91"/>
    </row>
    <row r="137">
      <c r="A137" s="80"/>
      <c r="F137" s="92"/>
      <c r="H137" s="93"/>
      <c r="M137" s="91"/>
    </row>
    <row r="138">
      <c r="A138" s="80"/>
      <c r="F138" s="92"/>
      <c r="H138" s="93"/>
      <c r="M138" s="91"/>
    </row>
    <row r="139">
      <c r="A139" s="80"/>
      <c r="F139" s="92"/>
      <c r="H139" s="93"/>
      <c r="M139" s="91"/>
    </row>
    <row r="140">
      <c r="A140" s="80"/>
      <c r="F140" s="92"/>
      <c r="H140" s="93"/>
      <c r="M140" s="91"/>
    </row>
    <row r="141">
      <c r="A141" s="80"/>
      <c r="F141" s="92"/>
      <c r="H141" s="93"/>
      <c r="M141" s="91"/>
    </row>
    <row r="142">
      <c r="A142" s="80"/>
      <c r="F142" s="92"/>
      <c r="H142" s="93"/>
      <c r="M142" s="91"/>
    </row>
    <row r="143">
      <c r="A143" s="80"/>
      <c r="F143" s="92"/>
      <c r="H143" s="93"/>
      <c r="M143" s="91"/>
    </row>
    <row r="144">
      <c r="A144" s="80"/>
      <c r="F144" s="92"/>
      <c r="H144" s="93"/>
      <c r="M144" s="91"/>
    </row>
    <row r="145">
      <c r="A145" s="80"/>
      <c r="F145" s="92"/>
      <c r="H145" s="93"/>
      <c r="M145" s="91"/>
    </row>
    <row r="146">
      <c r="A146" s="80"/>
      <c r="F146" s="92"/>
      <c r="H146" s="93"/>
      <c r="M146" s="91"/>
    </row>
    <row r="147">
      <c r="A147" s="80"/>
      <c r="F147" s="92"/>
      <c r="H147" s="93"/>
      <c r="M147" s="91"/>
    </row>
    <row r="148">
      <c r="A148" s="80"/>
      <c r="F148" s="92"/>
      <c r="H148" s="93"/>
      <c r="M148" s="91"/>
    </row>
    <row r="149">
      <c r="A149" s="80"/>
      <c r="F149" s="92"/>
      <c r="H149" s="93"/>
      <c r="M149" s="91"/>
    </row>
    <row r="150">
      <c r="A150" s="80"/>
      <c r="F150" s="92"/>
      <c r="H150" s="93"/>
      <c r="M150" s="91"/>
    </row>
    <row r="151">
      <c r="A151" s="80"/>
      <c r="F151" s="92"/>
      <c r="H151" s="93"/>
      <c r="M151" s="91"/>
    </row>
    <row r="152">
      <c r="A152" s="80"/>
      <c r="F152" s="92"/>
      <c r="H152" s="93"/>
      <c r="M152" s="91"/>
    </row>
    <row r="153">
      <c r="A153" s="80"/>
      <c r="F153" s="92"/>
      <c r="H153" s="93"/>
      <c r="M153" s="91"/>
    </row>
    <row r="154">
      <c r="A154" s="80"/>
      <c r="F154" s="92"/>
      <c r="H154" s="93"/>
      <c r="M154" s="91"/>
    </row>
    <row r="155">
      <c r="A155" s="80"/>
      <c r="F155" s="92"/>
      <c r="H155" s="93"/>
      <c r="M155" s="91"/>
    </row>
    <row r="156">
      <c r="A156" s="80"/>
      <c r="F156" s="92"/>
      <c r="H156" s="93"/>
      <c r="M156" s="91"/>
    </row>
    <row r="157">
      <c r="A157" s="80"/>
      <c r="F157" s="92"/>
      <c r="H157" s="93"/>
      <c r="M157" s="91"/>
    </row>
    <row r="158">
      <c r="A158" s="80"/>
      <c r="F158" s="92"/>
      <c r="H158" s="93"/>
      <c r="M158" s="91"/>
    </row>
    <row r="159">
      <c r="A159" s="80"/>
      <c r="F159" s="92"/>
      <c r="H159" s="93"/>
      <c r="M159" s="91"/>
    </row>
    <row r="160">
      <c r="A160" s="80"/>
      <c r="F160" s="92"/>
      <c r="H160" s="93"/>
      <c r="M160" s="91"/>
    </row>
    <row r="161">
      <c r="A161" s="80"/>
      <c r="F161" s="92"/>
      <c r="H161" s="93"/>
      <c r="M161" s="91"/>
    </row>
    <row r="162">
      <c r="A162" s="80"/>
      <c r="F162" s="92"/>
      <c r="H162" s="93"/>
      <c r="M162" s="91"/>
    </row>
    <row r="163">
      <c r="A163" s="80"/>
      <c r="F163" s="92"/>
      <c r="H163" s="93"/>
      <c r="M163" s="91"/>
    </row>
    <row r="164">
      <c r="A164" s="80"/>
      <c r="F164" s="92"/>
      <c r="H164" s="93"/>
      <c r="M164" s="91"/>
    </row>
    <row r="165">
      <c r="A165" s="80"/>
      <c r="F165" s="92"/>
      <c r="H165" s="93"/>
      <c r="M165" s="91"/>
    </row>
    <row r="166">
      <c r="A166" s="80"/>
      <c r="F166" s="92"/>
      <c r="H166" s="93"/>
      <c r="M166" s="91"/>
    </row>
    <row r="167">
      <c r="A167" s="80"/>
      <c r="F167" s="92"/>
      <c r="H167" s="93"/>
      <c r="M167" s="91"/>
    </row>
    <row r="168">
      <c r="A168" s="80"/>
      <c r="F168" s="92"/>
      <c r="H168" s="93"/>
      <c r="M168" s="91"/>
    </row>
    <row r="169">
      <c r="A169" s="80"/>
      <c r="F169" s="92"/>
      <c r="H169" s="93"/>
      <c r="M169" s="91"/>
    </row>
    <row r="170">
      <c r="A170" s="80"/>
      <c r="F170" s="92"/>
      <c r="H170" s="93"/>
      <c r="M170" s="91"/>
    </row>
    <row r="171">
      <c r="A171" s="80"/>
      <c r="F171" s="92"/>
      <c r="H171" s="93"/>
      <c r="M171" s="91"/>
    </row>
    <row r="172">
      <c r="A172" s="80"/>
      <c r="F172" s="92"/>
      <c r="H172" s="93"/>
      <c r="M172" s="91"/>
    </row>
    <row r="173">
      <c r="A173" s="80"/>
      <c r="F173" s="92"/>
      <c r="H173" s="93"/>
      <c r="M173" s="91"/>
    </row>
    <row r="174">
      <c r="A174" s="80"/>
      <c r="F174" s="92"/>
      <c r="H174" s="93"/>
      <c r="M174" s="91"/>
    </row>
    <row r="175">
      <c r="A175" s="80"/>
      <c r="F175" s="92"/>
      <c r="H175" s="93"/>
      <c r="M175" s="91"/>
    </row>
    <row r="176">
      <c r="A176" s="80"/>
      <c r="F176" s="92"/>
      <c r="H176" s="93"/>
      <c r="M176" s="91"/>
    </row>
    <row r="177">
      <c r="A177" s="80"/>
      <c r="F177" s="92"/>
      <c r="H177" s="93"/>
      <c r="M177" s="91"/>
    </row>
    <row r="178">
      <c r="A178" s="80"/>
      <c r="F178" s="92"/>
      <c r="H178" s="93"/>
      <c r="M178" s="91"/>
    </row>
    <row r="179">
      <c r="A179" s="80"/>
      <c r="F179" s="92"/>
      <c r="H179" s="93"/>
      <c r="M179" s="91"/>
    </row>
    <row r="180">
      <c r="A180" s="80"/>
      <c r="F180" s="92"/>
      <c r="H180" s="93"/>
      <c r="M180" s="91"/>
    </row>
    <row r="181">
      <c r="A181" s="80"/>
      <c r="F181" s="92"/>
      <c r="H181" s="93"/>
      <c r="M181" s="91"/>
    </row>
    <row r="182">
      <c r="A182" s="80"/>
      <c r="F182" s="92"/>
      <c r="H182" s="93"/>
      <c r="M182" s="91"/>
    </row>
    <row r="183">
      <c r="A183" s="80"/>
      <c r="F183" s="92"/>
      <c r="H183" s="93"/>
      <c r="M183" s="91"/>
    </row>
    <row r="184">
      <c r="A184" s="80"/>
      <c r="F184" s="92"/>
      <c r="H184" s="93"/>
      <c r="M184" s="91"/>
    </row>
    <row r="185">
      <c r="A185" s="80"/>
      <c r="F185" s="92"/>
      <c r="H185" s="93"/>
      <c r="M185" s="91"/>
    </row>
    <row r="186">
      <c r="A186" s="80"/>
      <c r="F186" s="92"/>
      <c r="H186" s="93"/>
      <c r="M186" s="91"/>
    </row>
    <row r="187">
      <c r="A187" s="80"/>
      <c r="F187" s="92"/>
      <c r="H187" s="93"/>
      <c r="M187" s="91"/>
    </row>
    <row r="188">
      <c r="A188" s="80"/>
      <c r="F188" s="92"/>
      <c r="H188" s="93"/>
      <c r="M188" s="91"/>
    </row>
    <row r="189">
      <c r="A189" s="80"/>
      <c r="F189" s="92"/>
      <c r="H189" s="93"/>
      <c r="M189" s="91"/>
    </row>
    <row r="190">
      <c r="A190" s="80"/>
      <c r="F190" s="92"/>
      <c r="H190" s="93"/>
      <c r="M190" s="91"/>
    </row>
    <row r="191">
      <c r="A191" s="80"/>
      <c r="F191" s="92"/>
      <c r="H191" s="93"/>
      <c r="M191" s="91"/>
    </row>
    <row r="192">
      <c r="A192" s="80"/>
      <c r="F192" s="92"/>
      <c r="H192" s="93"/>
      <c r="M192" s="91"/>
    </row>
    <row r="193">
      <c r="A193" s="80"/>
      <c r="F193" s="92"/>
      <c r="H193" s="93"/>
      <c r="M193" s="91"/>
    </row>
    <row r="194">
      <c r="A194" s="80"/>
      <c r="F194" s="92"/>
      <c r="H194" s="93"/>
      <c r="M194" s="91"/>
    </row>
    <row r="195">
      <c r="A195" s="80"/>
      <c r="F195" s="92"/>
      <c r="H195" s="93"/>
      <c r="M195" s="91"/>
    </row>
    <row r="196">
      <c r="A196" s="80"/>
      <c r="F196" s="92"/>
      <c r="H196" s="93"/>
      <c r="M196" s="91"/>
    </row>
    <row r="197">
      <c r="A197" s="80"/>
      <c r="F197" s="92"/>
      <c r="H197" s="93"/>
      <c r="M197" s="91"/>
    </row>
    <row r="198">
      <c r="A198" s="80"/>
      <c r="F198" s="92"/>
      <c r="H198" s="93"/>
      <c r="M198" s="91"/>
    </row>
    <row r="199">
      <c r="A199" s="80"/>
      <c r="F199" s="92"/>
      <c r="H199" s="93"/>
      <c r="M199" s="91"/>
    </row>
    <row r="200">
      <c r="A200" s="80"/>
      <c r="F200" s="92"/>
      <c r="H200" s="93"/>
      <c r="M200" s="91"/>
    </row>
    <row r="201">
      <c r="A201" s="80"/>
      <c r="F201" s="92"/>
      <c r="H201" s="93"/>
      <c r="M201" s="91"/>
    </row>
    <row r="202">
      <c r="A202" s="80"/>
      <c r="F202" s="92"/>
      <c r="H202" s="93"/>
      <c r="M202" s="91"/>
    </row>
    <row r="203">
      <c r="A203" s="80"/>
      <c r="F203" s="92"/>
      <c r="H203" s="93"/>
      <c r="M203" s="91"/>
    </row>
    <row r="204">
      <c r="A204" s="80"/>
      <c r="F204" s="92"/>
      <c r="H204" s="93"/>
      <c r="M204" s="91"/>
    </row>
    <row r="205">
      <c r="A205" s="80"/>
      <c r="F205" s="92"/>
      <c r="H205" s="93"/>
      <c r="M205" s="91"/>
    </row>
    <row r="206">
      <c r="A206" s="80"/>
      <c r="F206" s="92"/>
      <c r="H206" s="93"/>
      <c r="M206" s="91"/>
    </row>
    <row r="207">
      <c r="A207" s="80"/>
      <c r="F207" s="92"/>
      <c r="H207" s="93"/>
      <c r="M207" s="91"/>
    </row>
    <row r="208">
      <c r="A208" s="80"/>
      <c r="F208" s="92"/>
      <c r="H208" s="93"/>
      <c r="M208" s="91"/>
    </row>
    <row r="209">
      <c r="A209" s="80"/>
      <c r="F209" s="92"/>
      <c r="H209" s="93"/>
      <c r="M209" s="91"/>
    </row>
    <row r="210">
      <c r="A210" s="80"/>
      <c r="F210" s="92"/>
      <c r="H210" s="93"/>
      <c r="M210" s="91"/>
    </row>
    <row r="211">
      <c r="A211" s="80"/>
      <c r="F211" s="92"/>
      <c r="H211" s="93"/>
      <c r="M211" s="91"/>
    </row>
    <row r="212">
      <c r="A212" s="80"/>
      <c r="F212" s="92"/>
      <c r="H212" s="93"/>
      <c r="M212" s="91"/>
    </row>
    <row r="213">
      <c r="A213" s="80"/>
      <c r="F213" s="92"/>
      <c r="H213" s="93"/>
      <c r="M213" s="91"/>
    </row>
    <row r="214">
      <c r="A214" s="80"/>
      <c r="F214" s="92"/>
      <c r="H214" s="93"/>
      <c r="M214" s="91"/>
    </row>
    <row r="215">
      <c r="A215" s="80"/>
      <c r="F215" s="92"/>
      <c r="H215" s="93"/>
      <c r="M215" s="91"/>
    </row>
    <row r="216">
      <c r="A216" s="80"/>
      <c r="F216" s="92"/>
      <c r="H216" s="93"/>
      <c r="M216" s="91"/>
    </row>
    <row r="217">
      <c r="A217" s="80"/>
      <c r="F217" s="92"/>
      <c r="H217" s="93"/>
      <c r="M217" s="91"/>
    </row>
    <row r="218">
      <c r="A218" s="80"/>
      <c r="F218" s="92"/>
      <c r="H218" s="93"/>
      <c r="M218" s="91"/>
    </row>
    <row r="219">
      <c r="A219" s="80"/>
      <c r="F219" s="92"/>
      <c r="H219" s="93"/>
      <c r="M219" s="91"/>
    </row>
    <row r="220">
      <c r="A220" s="80"/>
      <c r="F220" s="92"/>
      <c r="H220" s="93"/>
      <c r="M220" s="91"/>
    </row>
    <row r="221">
      <c r="A221" s="80"/>
      <c r="F221" s="92"/>
      <c r="H221" s="93"/>
      <c r="M221" s="91"/>
    </row>
    <row r="222">
      <c r="A222" s="80"/>
      <c r="F222" s="92"/>
      <c r="H222" s="93"/>
      <c r="M222" s="91"/>
    </row>
    <row r="223">
      <c r="A223" s="80"/>
      <c r="F223" s="92"/>
      <c r="H223" s="93"/>
      <c r="M223" s="91"/>
    </row>
    <row r="224">
      <c r="A224" s="80"/>
      <c r="F224" s="92"/>
      <c r="H224" s="93"/>
      <c r="M224" s="91"/>
    </row>
    <row r="225">
      <c r="A225" s="80"/>
      <c r="F225" s="92"/>
      <c r="H225" s="93"/>
      <c r="M225" s="91"/>
    </row>
    <row r="226">
      <c r="A226" s="80"/>
      <c r="F226" s="92"/>
      <c r="H226" s="93"/>
      <c r="M226" s="91"/>
    </row>
    <row r="227">
      <c r="A227" s="80"/>
      <c r="F227" s="92"/>
      <c r="H227" s="93"/>
      <c r="M227" s="91"/>
    </row>
    <row r="228">
      <c r="A228" s="80"/>
      <c r="F228" s="92"/>
      <c r="H228" s="93"/>
      <c r="M228" s="91"/>
    </row>
    <row r="229">
      <c r="A229" s="80"/>
      <c r="F229" s="92"/>
      <c r="H229" s="93"/>
      <c r="M229" s="91"/>
    </row>
    <row r="230">
      <c r="A230" s="80"/>
      <c r="F230" s="92"/>
      <c r="H230" s="93"/>
      <c r="M230" s="91"/>
    </row>
    <row r="231">
      <c r="A231" s="80"/>
      <c r="F231" s="92"/>
      <c r="H231" s="93"/>
      <c r="M231" s="91"/>
    </row>
    <row r="232">
      <c r="A232" s="80"/>
      <c r="F232" s="92"/>
      <c r="H232" s="93"/>
      <c r="M232" s="91"/>
    </row>
    <row r="233">
      <c r="A233" s="80"/>
      <c r="F233" s="92"/>
      <c r="H233" s="93"/>
      <c r="M233" s="91"/>
    </row>
    <row r="234">
      <c r="A234" s="80"/>
      <c r="F234" s="92"/>
      <c r="H234" s="93"/>
      <c r="M234" s="91"/>
    </row>
    <row r="235">
      <c r="A235" s="80"/>
      <c r="F235" s="92"/>
      <c r="H235" s="93"/>
      <c r="M235" s="91"/>
    </row>
    <row r="236">
      <c r="A236" s="80"/>
      <c r="F236" s="92"/>
      <c r="H236" s="93"/>
      <c r="M236" s="91"/>
    </row>
    <row r="237">
      <c r="A237" s="80"/>
      <c r="F237" s="92"/>
      <c r="H237" s="93"/>
      <c r="M237" s="91"/>
    </row>
    <row r="238">
      <c r="A238" s="80"/>
      <c r="F238" s="92"/>
      <c r="H238" s="93"/>
      <c r="M238" s="91"/>
    </row>
    <row r="239">
      <c r="A239" s="80"/>
      <c r="F239" s="92"/>
      <c r="H239" s="93"/>
      <c r="M239" s="91"/>
    </row>
    <row r="240">
      <c r="A240" s="80"/>
      <c r="F240" s="92"/>
      <c r="H240" s="93"/>
      <c r="M240" s="91"/>
    </row>
    <row r="241">
      <c r="A241" s="80"/>
      <c r="F241" s="92"/>
      <c r="H241" s="93"/>
      <c r="M241" s="91"/>
    </row>
    <row r="242">
      <c r="A242" s="80"/>
      <c r="F242" s="92"/>
      <c r="H242" s="93"/>
      <c r="M242" s="91"/>
    </row>
    <row r="243">
      <c r="A243" s="80"/>
      <c r="F243" s="92"/>
      <c r="H243" s="93"/>
      <c r="M243" s="91"/>
    </row>
    <row r="244">
      <c r="A244" s="80"/>
      <c r="F244" s="92"/>
      <c r="H244" s="93"/>
      <c r="M244" s="91"/>
    </row>
    <row r="245">
      <c r="A245" s="80"/>
      <c r="F245" s="92"/>
      <c r="H245" s="93"/>
      <c r="M245" s="91"/>
    </row>
    <row r="246">
      <c r="A246" s="80"/>
      <c r="F246" s="92"/>
      <c r="H246" s="93"/>
      <c r="M246" s="91"/>
    </row>
    <row r="247">
      <c r="A247" s="80"/>
      <c r="F247" s="92"/>
      <c r="H247" s="93"/>
      <c r="M247" s="91"/>
    </row>
    <row r="248">
      <c r="A248" s="80"/>
      <c r="F248" s="92"/>
      <c r="H248" s="93"/>
      <c r="M248" s="91"/>
    </row>
    <row r="249">
      <c r="A249" s="80"/>
      <c r="F249" s="92"/>
      <c r="H249" s="93"/>
      <c r="M249" s="91"/>
    </row>
    <row r="250">
      <c r="A250" s="80"/>
      <c r="F250" s="92"/>
      <c r="H250" s="93"/>
      <c r="M250" s="91"/>
    </row>
    <row r="251">
      <c r="A251" s="80"/>
      <c r="F251" s="92"/>
      <c r="H251" s="93"/>
      <c r="M251" s="91"/>
    </row>
    <row r="252">
      <c r="A252" s="80"/>
      <c r="F252" s="92"/>
      <c r="H252" s="93"/>
      <c r="M252" s="91"/>
    </row>
    <row r="253">
      <c r="A253" s="80"/>
      <c r="F253" s="92"/>
      <c r="H253" s="93"/>
      <c r="M253" s="91"/>
    </row>
    <row r="254">
      <c r="A254" s="80"/>
      <c r="F254" s="92"/>
      <c r="H254" s="93"/>
      <c r="M254" s="91"/>
    </row>
    <row r="255">
      <c r="A255" s="80"/>
      <c r="F255" s="92"/>
      <c r="H255" s="93"/>
      <c r="M255" s="91"/>
    </row>
    <row r="256">
      <c r="A256" s="80"/>
      <c r="F256" s="92"/>
      <c r="H256" s="93"/>
      <c r="M256" s="91"/>
    </row>
    <row r="257">
      <c r="A257" s="80"/>
      <c r="F257" s="92"/>
      <c r="H257" s="93"/>
      <c r="M257" s="91"/>
    </row>
    <row r="258">
      <c r="A258" s="80"/>
      <c r="F258" s="92"/>
      <c r="H258" s="93"/>
      <c r="M258" s="91"/>
    </row>
    <row r="259">
      <c r="A259" s="80"/>
      <c r="F259" s="92"/>
      <c r="H259" s="93"/>
      <c r="M259" s="91"/>
    </row>
    <row r="260">
      <c r="A260" s="80"/>
      <c r="F260" s="92"/>
      <c r="H260" s="93"/>
      <c r="M260" s="91"/>
    </row>
    <row r="261">
      <c r="A261" s="80"/>
      <c r="F261" s="92"/>
      <c r="H261" s="93"/>
      <c r="M261" s="91"/>
    </row>
    <row r="262">
      <c r="A262" s="80"/>
      <c r="F262" s="92"/>
      <c r="H262" s="93"/>
      <c r="M262" s="91"/>
    </row>
    <row r="263">
      <c r="A263" s="80"/>
      <c r="F263" s="92"/>
      <c r="H263" s="93"/>
      <c r="M263" s="91"/>
    </row>
    <row r="264">
      <c r="A264" s="80"/>
      <c r="F264" s="92"/>
      <c r="H264" s="93"/>
      <c r="M264" s="91"/>
    </row>
    <row r="265">
      <c r="A265" s="80"/>
      <c r="F265" s="92"/>
      <c r="H265" s="93"/>
      <c r="M265" s="91"/>
    </row>
    <row r="266">
      <c r="A266" s="80"/>
      <c r="F266" s="92"/>
      <c r="H266" s="93"/>
      <c r="M266" s="91"/>
    </row>
    <row r="267">
      <c r="A267" s="80"/>
      <c r="F267" s="92"/>
      <c r="H267" s="93"/>
      <c r="M267" s="91"/>
    </row>
    <row r="268">
      <c r="A268" s="80"/>
      <c r="F268" s="92"/>
      <c r="H268" s="93"/>
      <c r="M268" s="91"/>
    </row>
    <row r="269">
      <c r="A269" s="80"/>
      <c r="F269" s="92"/>
      <c r="H269" s="93"/>
      <c r="M269" s="91"/>
    </row>
    <row r="270">
      <c r="A270" s="80"/>
      <c r="F270" s="92"/>
      <c r="H270" s="93"/>
      <c r="M270" s="91"/>
    </row>
    <row r="271">
      <c r="A271" s="80"/>
      <c r="F271" s="92"/>
      <c r="H271" s="93"/>
      <c r="M271" s="91"/>
    </row>
    <row r="272">
      <c r="A272" s="80"/>
      <c r="F272" s="92"/>
      <c r="H272" s="93"/>
      <c r="M272" s="91"/>
    </row>
    <row r="273">
      <c r="A273" s="80"/>
      <c r="F273" s="92"/>
      <c r="H273" s="93"/>
      <c r="M273" s="91"/>
    </row>
    <row r="274">
      <c r="A274" s="80"/>
      <c r="F274" s="92"/>
      <c r="H274" s="93"/>
      <c r="M274" s="91"/>
    </row>
    <row r="275">
      <c r="A275" s="80"/>
      <c r="F275" s="92"/>
      <c r="H275" s="93"/>
      <c r="M275" s="91"/>
    </row>
    <row r="276">
      <c r="A276" s="80"/>
      <c r="F276" s="92"/>
      <c r="H276" s="93"/>
      <c r="M276" s="91"/>
    </row>
    <row r="277">
      <c r="A277" s="80"/>
      <c r="F277" s="92"/>
      <c r="H277" s="93"/>
      <c r="M277" s="91"/>
    </row>
    <row r="278">
      <c r="A278" s="80"/>
      <c r="F278" s="92"/>
      <c r="H278" s="93"/>
      <c r="M278" s="91"/>
    </row>
    <row r="279">
      <c r="A279" s="80"/>
      <c r="F279" s="92"/>
      <c r="H279" s="93"/>
      <c r="M279" s="91"/>
    </row>
    <row r="280">
      <c r="A280" s="80"/>
      <c r="F280" s="92"/>
      <c r="H280" s="93"/>
      <c r="M280" s="91"/>
    </row>
    <row r="281">
      <c r="A281" s="80"/>
      <c r="F281" s="92"/>
      <c r="H281" s="93"/>
      <c r="M281" s="91"/>
    </row>
    <row r="282">
      <c r="A282" s="80"/>
      <c r="F282" s="92"/>
      <c r="H282" s="93"/>
      <c r="M282" s="91"/>
    </row>
    <row r="283">
      <c r="A283" s="80"/>
      <c r="F283" s="92"/>
      <c r="H283" s="93"/>
      <c r="M283" s="91"/>
    </row>
    <row r="284">
      <c r="A284" s="80"/>
      <c r="F284" s="92"/>
      <c r="H284" s="93"/>
      <c r="M284" s="91"/>
    </row>
    <row r="285">
      <c r="A285" s="80"/>
      <c r="F285" s="92"/>
      <c r="H285" s="93"/>
      <c r="M285" s="91"/>
    </row>
    <row r="286">
      <c r="A286" s="80"/>
      <c r="F286" s="92"/>
      <c r="H286" s="93"/>
      <c r="M286" s="91"/>
    </row>
    <row r="287">
      <c r="A287" s="80"/>
      <c r="F287" s="92"/>
      <c r="H287" s="93"/>
      <c r="M287" s="91"/>
    </row>
    <row r="288">
      <c r="A288" s="80"/>
      <c r="F288" s="92"/>
      <c r="H288" s="93"/>
      <c r="M288" s="91"/>
    </row>
    <row r="289">
      <c r="A289" s="80"/>
      <c r="F289" s="92"/>
      <c r="H289" s="93"/>
      <c r="M289" s="91"/>
    </row>
    <row r="290">
      <c r="A290" s="80"/>
      <c r="F290" s="92"/>
      <c r="H290" s="93"/>
      <c r="M290" s="91"/>
    </row>
    <row r="291">
      <c r="A291" s="80"/>
      <c r="F291" s="92"/>
      <c r="H291" s="93"/>
      <c r="M291" s="91"/>
    </row>
    <row r="292">
      <c r="A292" s="80"/>
      <c r="F292" s="92"/>
      <c r="H292" s="93"/>
      <c r="M292" s="91"/>
    </row>
    <row r="293">
      <c r="A293" s="80"/>
      <c r="F293" s="92"/>
      <c r="H293" s="93"/>
      <c r="M293" s="91"/>
    </row>
    <row r="294">
      <c r="A294" s="80"/>
      <c r="F294" s="92"/>
      <c r="H294" s="93"/>
      <c r="M294" s="91"/>
    </row>
    <row r="295">
      <c r="A295" s="80"/>
      <c r="F295" s="92"/>
      <c r="H295" s="93"/>
      <c r="M295" s="91"/>
    </row>
    <row r="296">
      <c r="A296" s="80"/>
      <c r="F296" s="92"/>
      <c r="H296" s="93"/>
      <c r="M296" s="91"/>
    </row>
    <row r="297">
      <c r="A297" s="80"/>
      <c r="F297" s="92"/>
      <c r="H297" s="93"/>
      <c r="M297" s="91"/>
    </row>
    <row r="298">
      <c r="A298" s="80"/>
      <c r="F298" s="92"/>
      <c r="H298" s="93"/>
      <c r="M298" s="91"/>
    </row>
    <row r="299">
      <c r="A299" s="80"/>
      <c r="F299" s="92"/>
      <c r="H299" s="93"/>
      <c r="M299" s="91"/>
    </row>
    <row r="300">
      <c r="A300" s="80"/>
      <c r="F300" s="92"/>
      <c r="H300" s="93"/>
      <c r="M300" s="91"/>
    </row>
    <row r="301">
      <c r="A301" s="80"/>
      <c r="F301" s="92"/>
      <c r="H301" s="93"/>
      <c r="M301" s="91"/>
    </row>
    <row r="302">
      <c r="A302" s="80"/>
      <c r="F302" s="92"/>
      <c r="H302" s="93"/>
      <c r="M302" s="91"/>
    </row>
    <row r="303">
      <c r="A303" s="80"/>
      <c r="F303" s="92"/>
      <c r="H303" s="93"/>
      <c r="M303" s="91"/>
    </row>
    <row r="304">
      <c r="A304" s="80"/>
      <c r="F304" s="92"/>
      <c r="H304" s="93"/>
      <c r="M304" s="91"/>
    </row>
    <row r="305">
      <c r="A305" s="80"/>
      <c r="F305" s="92"/>
      <c r="H305" s="93"/>
      <c r="M305" s="91"/>
    </row>
    <row r="306">
      <c r="A306" s="80"/>
      <c r="F306" s="92"/>
      <c r="H306" s="93"/>
      <c r="M306" s="91"/>
    </row>
    <row r="307">
      <c r="A307" s="80"/>
      <c r="F307" s="92"/>
      <c r="H307" s="93"/>
      <c r="M307" s="91"/>
    </row>
    <row r="308">
      <c r="A308" s="80"/>
      <c r="F308" s="92"/>
      <c r="H308" s="93"/>
      <c r="M308" s="91"/>
    </row>
    <row r="309">
      <c r="A309" s="80"/>
      <c r="F309" s="92"/>
      <c r="H309" s="93"/>
      <c r="M309" s="91"/>
    </row>
    <row r="310">
      <c r="A310" s="80"/>
      <c r="F310" s="92"/>
      <c r="H310" s="93"/>
      <c r="M310" s="91"/>
    </row>
    <row r="311">
      <c r="A311" s="80"/>
      <c r="F311" s="92"/>
      <c r="H311" s="93"/>
      <c r="M311" s="91"/>
    </row>
    <row r="312">
      <c r="A312" s="80"/>
      <c r="F312" s="92"/>
      <c r="H312" s="93"/>
      <c r="M312" s="91"/>
    </row>
    <row r="313">
      <c r="A313" s="80"/>
      <c r="F313" s="92"/>
      <c r="H313" s="93"/>
      <c r="M313" s="91"/>
    </row>
    <row r="314">
      <c r="A314" s="80"/>
      <c r="F314" s="92"/>
      <c r="H314" s="93"/>
      <c r="M314" s="91"/>
    </row>
    <row r="315">
      <c r="A315" s="80"/>
      <c r="F315" s="92"/>
      <c r="H315" s="93"/>
      <c r="M315" s="91"/>
    </row>
    <row r="316">
      <c r="A316" s="80"/>
      <c r="F316" s="92"/>
      <c r="H316" s="93"/>
      <c r="M316" s="91"/>
    </row>
    <row r="317">
      <c r="A317" s="80"/>
      <c r="F317" s="92"/>
      <c r="H317" s="93"/>
      <c r="M317" s="91"/>
    </row>
    <row r="318">
      <c r="A318" s="80"/>
      <c r="F318" s="92"/>
      <c r="H318" s="93"/>
      <c r="M318" s="91"/>
    </row>
    <row r="319">
      <c r="A319" s="80"/>
      <c r="F319" s="92"/>
      <c r="H319" s="93"/>
      <c r="M319" s="91"/>
    </row>
    <row r="320">
      <c r="A320" s="80"/>
      <c r="F320" s="92"/>
      <c r="H320" s="93"/>
      <c r="M320" s="91"/>
    </row>
    <row r="321">
      <c r="A321" s="80"/>
      <c r="F321" s="92"/>
      <c r="H321" s="93"/>
      <c r="M321" s="91"/>
    </row>
    <row r="322">
      <c r="A322" s="80"/>
      <c r="F322" s="92"/>
      <c r="H322" s="93"/>
      <c r="M322" s="91"/>
    </row>
    <row r="323">
      <c r="A323" s="80"/>
      <c r="F323" s="92"/>
      <c r="H323" s="93"/>
      <c r="M323" s="91"/>
    </row>
    <row r="324">
      <c r="A324" s="80"/>
      <c r="F324" s="92"/>
      <c r="H324" s="93"/>
      <c r="M324" s="91"/>
    </row>
    <row r="325">
      <c r="A325" s="80"/>
      <c r="F325" s="92"/>
      <c r="H325" s="93"/>
      <c r="M325" s="91"/>
    </row>
    <row r="326">
      <c r="A326" s="80"/>
      <c r="F326" s="92"/>
      <c r="H326" s="93"/>
      <c r="M326" s="91"/>
    </row>
    <row r="327">
      <c r="A327" s="80"/>
      <c r="F327" s="92"/>
      <c r="H327" s="93"/>
      <c r="M327" s="91"/>
    </row>
    <row r="328">
      <c r="A328" s="80"/>
      <c r="F328" s="92"/>
      <c r="H328" s="93"/>
      <c r="M328" s="91"/>
    </row>
    <row r="329">
      <c r="A329" s="80"/>
      <c r="F329" s="92"/>
      <c r="H329" s="93"/>
      <c r="M329" s="91"/>
    </row>
    <row r="330">
      <c r="A330" s="80"/>
      <c r="F330" s="92"/>
      <c r="H330" s="93"/>
      <c r="M330" s="91"/>
    </row>
    <row r="331">
      <c r="A331" s="80"/>
      <c r="F331" s="92"/>
      <c r="H331" s="93"/>
      <c r="M331" s="91"/>
    </row>
    <row r="332">
      <c r="A332" s="80"/>
      <c r="F332" s="92"/>
      <c r="H332" s="93"/>
      <c r="M332" s="91"/>
    </row>
    <row r="333">
      <c r="A333" s="80"/>
      <c r="F333" s="92"/>
      <c r="H333" s="93"/>
      <c r="M333" s="91"/>
    </row>
    <row r="334">
      <c r="A334" s="80"/>
      <c r="F334" s="92"/>
      <c r="H334" s="93"/>
      <c r="M334" s="91"/>
    </row>
    <row r="335">
      <c r="A335" s="80"/>
      <c r="F335" s="92"/>
      <c r="H335" s="93"/>
      <c r="M335" s="91"/>
    </row>
    <row r="336">
      <c r="A336" s="80"/>
      <c r="F336" s="92"/>
      <c r="H336" s="93"/>
      <c r="M336" s="91"/>
    </row>
    <row r="337">
      <c r="A337" s="80"/>
      <c r="F337" s="92"/>
      <c r="H337" s="93"/>
      <c r="M337" s="91"/>
    </row>
    <row r="338">
      <c r="A338" s="80"/>
      <c r="F338" s="92"/>
      <c r="H338" s="93"/>
      <c r="M338" s="91"/>
    </row>
    <row r="339">
      <c r="A339" s="80"/>
      <c r="F339" s="92"/>
      <c r="H339" s="93"/>
      <c r="M339" s="91"/>
    </row>
    <row r="340">
      <c r="A340" s="80"/>
      <c r="F340" s="92"/>
      <c r="H340" s="93"/>
      <c r="M340" s="91"/>
    </row>
    <row r="341">
      <c r="A341" s="80"/>
      <c r="F341" s="92"/>
      <c r="H341" s="93"/>
      <c r="M341" s="91"/>
    </row>
    <row r="342">
      <c r="A342" s="80"/>
      <c r="F342" s="92"/>
      <c r="H342" s="93"/>
      <c r="M342" s="91"/>
    </row>
    <row r="343">
      <c r="A343" s="80"/>
      <c r="F343" s="92"/>
      <c r="H343" s="93"/>
      <c r="M343" s="91"/>
    </row>
    <row r="344">
      <c r="A344" s="80"/>
      <c r="F344" s="92"/>
      <c r="H344" s="93"/>
      <c r="M344" s="91"/>
    </row>
    <row r="345">
      <c r="A345" s="80"/>
      <c r="F345" s="92"/>
      <c r="H345" s="93"/>
      <c r="M345" s="91"/>
    </row>
    <row r="346">
      <c r="A346" s="80"/>
      <c r="F346" s="92"/>
      <c r="H346" s="93"/>
      <c r="M346" s="91"/>
    </row>
    <row r="347">
      <c r="A347" s="80"/>
      <c r="F347" s="92"/>
      <c r="H347" s="93"/>
      <c r="M347" s="91"/>
    </row>
    <row r="348">
      <c r="A348" s="80"/>
      <c r="F348" s="92"/>
      <c r="H348" s="93"/>
      <c r="M348" s="91"/>
    </row>
    <row r="349">
      <c r="A349" s="80"/>
      <c r="F349" s="92"/>
      <c r="H349" s="93"/>
      <c r="M349" s="91"/>
    </row>
    <row r="350">
      <c r="A350" s="80"/>
      <c r="F350" s="92"/>
      <c r="H350" s="93"/>
      <c r="M350" s="91"/>
    </row>
    <row r="351">
      <c r="A351" s="80"/>
      <c r="F351" s="92"/>
      <c r="H351" s="93"/>
      <c r="M351" s="91"/>
    </row>
    <row r="352">
      <c r="A352" s="80"/>
      <c r="F352" s="92"/>
      <c r="H352" s="93"/>
      <c r="M352" s="91"/>
    </row>
    <row r="353">
      <c r="A353" s="80"/>
      <c r="F353" s="92"/>
      <c r="H353" s="93"/>
      <c r="M353" s="91"/>
    </row>
    <row r="354">
      <c r="A354" s="80"/>
      <c r="F354" s="92"/>
      <c r="H354" s="93"/>
      <c r="M354" s="91"/>
    </row>
    <row r="355">
      <c r="A355" s="80"/>
      <c r="F355" s="92"/>
      <c r="H355" s="93"/>
      <c r="M355" s="91"/>
    </row>
    <row r="356">
      <c r="A356" s="80"/>
      <c r="F356" s="92"/>
      <c r="H356" s="93"/>
      <c r="M356" s="91"/>
    </row>
    <row r="357">
      <c r="A357" s="80"/>
      <c r="F357" s="92"/>
      <c r="H357" s="93"/>
      <c r="M357" s="91"/>
    </row>
    <row r="358">
      <c r="A358" s="80"/>
      <c r="F358" s="92"/>
      <c r="H358" s="93"/>
      <c r="M358" s="91"/>
    </row>
    <row r="359">
      <c r="A359" s="80"/>
      <c r="F359" s="92"/>
      <c r="H359" s="93"/>
      <c r="M359" s="91"/>
    </row>
    <row r="360">
      <c r="A360" s="80"/>
      <c r="F360" s="92"/>
      <c r="H360" s="93"/>
      <c r="M360" s="91"/>
    </row>
    <row r="361">
      <c r="A361" s="80"/>
      <c r="F361" s="92"/>
      <c r="H361" s="93"/>
      <c r="M361" s="91"/>
    </row>
    <row r="362">
      <c r="A362" s="80"/>
      <c r="F362" s="92"/>
      <c r="H362" s="93"/>
      <c r="M362" s="91"/>
    </row>
    <row r="363">
      <c r="A363" s="80"/>
      <c r="F363" s="92"/>
      <c r="H363" s="93"/>
      <c r="M363" s="91"/>
    </row>
    <row r="364">
      <c r="A364" s="80"/>
      <c r="F364" s="92"/>
      <c r="H364" s="93"/>
      <c r="M364" s="91"/>
    </row>
    <row r="365">
      <c r="A365" s="80"/>
      <c r="F365" s="92"/>
      <c r="H365" s="93"/>
      <c r="M365" s="91"/>
    </row>
    <row r="366">
      <c r="A366" s="80"/>
      <c r="F366" s="92"/>
      <c r="H366" s="93"/>
      <c r="M366" s="91"/>
    </row>
    <row r="367">
      <c r="A367" s="80"/>
      <c r="F367" s="92"/>
      <c r="H367" s="93"/>
      <c r="M367" s="91"/>
    </row>
    <row r="368">
      <c r="A368" s="80"/>
      <c r="F368" s="92"/>
      <c r="H368" s="93"/>
      <c r="M368" s="91"/>
    </row>
    <row r="369">
      <c r="A369" s="80"/>
      <c r="F369" s="92"/>
      <c r="H369" s="93"/>
      <c r="M369" s="91"/>
    </row>
    <row r="370">
      <c r="A370" s="80"/>
      <c r="F370" s="92"/>
      <c r="H370" s="93"/>
      <c r="M370" s="91"/>
    </row>
    <row r="371">
      <c r="A371" s="80"/>
      <c r="F371" s="92"/>
      <c r="H371" s="93"/>
      <c r="M371" s="91"/>
    </row>
    <row r="372">
      <c r="A372" s="80"/>
      <c r="F372" s="92"/>
      <c r="H372" s="93"/>
      <c r="M372" s="91"/>
    </row>
    <row r="373">
      <c r="A373" s="80"/>
      <c r="F373" s="92"/>
      <c r="H373" s="93"/>
      <c r="M373" s="91"/>
    </row>
    <row r="374">
      <c r="A374" s="80"/>
      <c r="F374" s="92"/>
      <c r="H374" s="93"/>
      <c r="M374" s="91"/>
    </row>
    <row r="375">
      <c r="A375" s="80"/>
      <c r="F375" s="92"/>
      <c r="H375" s="93"/>
      <c r="M375" s="91"/>
    </row>
    <row r="376">
      <c r="A376" s="80"/>
      <c r="F376" s="92"/>
      <c r="H376" s="93"/>
      <c r="M376" s="91"/>
    </row>
    <row r="377">
      <c r="A377" s="80"/>
      <c r="F377" s="92"/>
      <c r="H377" s="93"/>
      <c r="M377" s="91"/>
    </row>
    <row r="378">
      <c r="A378" s="80"/>
      <c r="F378" s="92"/>
      <c r="H378" s="93"/>
      <c r="M378" s="91"/>
    </row>
    <row r="379">
      <c r="A379" s="80"/>
      <c r="F379" s="92"/>
      <c r="H379" s="93"/>
      <c r="M379" s="91"/>
    </row>
    <row r="380">
      <c r="A380" s="80"/>
      <c r="F380" s="92"/>
      <c r="H380" s="93"/>
      <c r="M380" s="91"/>
    </row>
    <row r="381">
      <c r="A381" s="80"/>
      <c r="F381" s="92"/>
      <c r="H381" s="93"/>
      <c r="M381" s="91"/>
    </row>
    <row r="382">
      <c r="A382" s="80"/>
      <c r="F382" s="92"/>
      <c r="H382" s="93"/>
      <c r="M382" s="91"/>
    </row>
    <row r="383">
      <c r="A383" s="80"/>
      <c r="F383" s="92"/>
      <c r="H383" s="93"/>
      <c r="M383" s="91"/>
    </row>
    <row r="384">
      <c r="A384" s="80"/>
      <c r="F384" s="92"/>
      <c r="H384" s="93"/>
      <c r="M384" s="91"/>
    </row>
    <row r="385">
      <c r="A385" s="80"/>
      <c r="F385" s="92"/>
      <c r="H385" s="93"/>
      <c r="M385" s="91"/>
    </row>
    <row r="386">
      <c r="A386" s="80"/>
      <c r="F386" s="92"/>
      <c r="H386" s="93"/>
      <c r="M386" s="91"/>
    </row>
    <row r="387">
      <c r="A387" s="80"/>
      <c r="F387" s="92"/>
      <c r="H387" s="93"/>
      <c r="M387" s="91"/>
    </row>
    <row r="388">
      <c r="A388" s="80"/>
      <c r="F388" s="92"/>
      <c r="H388" s="93"/>
      <c r="M388" s="91"/>
    </row>
    <row r="389">
      <c r="A389" s="80"/>
      <c r="F389" s="92"/>
      <c r="H389" s="93"/>
      <c r="M389" s="91"/>
    </row>
    <row r="390">
      <c r="A390" s="80"/>
      <c r="F390" s="92"/>
      <c r="H390" s="93"/>
      <c r="M390" s="91"/>
    </row>
    <row r="391">
      <c r="A391" s="80"/>
      <c r="F391" s="92"/>
      <c r="H391" s="93"/>
      <c r="M391" s="91"/>
    </row>
    <row r="392">
      <c r="A392" s="80"/>
      <c r="F392" s="92"/>
      <c r="H392" s="93"/>
      <c r="M392" s="91"/>
    </row>
    <row r="393">
      <c r="A393" s="80"/>
      <c r="F393" s="92"/>
      <c r="H393" s="93"/>
      <c r="M393" s="91"/>
    </row>
    <row r="394">
      <c r="A394" s="80"/>
      <c r="F394" s="92"/>
      <c r="H394" s="93"/>
      <c r="M394" s="91"/>
    </row>
    <row r="395">
      <c r="A395" s="80"/>
      <c r="F395" s="92"/>
      <c r="H395" s="93"/>
      <c r="M395" s="91"/>
    </row>
    <row r="396">
      <c r="A396" s="80"/>
      <c r="F396" s="92"/>
      <c r="H396" s="93"/>
      <c r="M396" s="91"/>
    </row>
    <row r="397">
      <c r="A397" s="80"/>
      <c r="F397" s="92"/>
      <c r="H397" s="93"/>
      <c r="M397" s="91"/>
    </row>
    <row r="398">
      <c r="A398" s="80"/>
      <c r="F398" s="92"/>
      <c r="H398" s="93"/>
      <c r="M398" s="91"/>
    </row>
    <row r="399">
      <c r="A399" s="80"/>
      <c r="F399" s="92"/>
      <c r="H399" s="93"/>
      <c r="M399" s="91"/>
    </row>
    <row r="400">
      <c r="A400" s="80"/>
      <c r="F400" s="92"/>
      <c r="H400" s="93"/>
      <c r="M400" s="91"/>
    </row>
    <row r="401">
      <c r="A401" s="80"/>
      <c r="F401" s="92"/>
      <c r="H401" s="93"/>
      <c r="M401" s="91"/>
    </row>
    <row r="402">
      <c r="A402" s="80"/>
      <c r="F402" s="92"/>
      <c r="H402" s="93"/>
      <c r="M402" s="91"/>
    </row>
    <row r="403">
      <c r="A403" s="80"/>
      <c r="F403" s="92"/>
      <c r="H403" s="93"/>
      <c r="M403" s="91"/>
    </row>
    <row r="404">
      <c r="A404" s="80"/>
      <c r="F404" s="92"/>
      <c r="H404" s="93"/>
      <c r="M404" s="91"/>
    </row>
    <row r="405">
      <c r="A405" s="80"/>
      <c r="F405" s="92"/>
      <c r="H405" s="93"/>
      <c r="M405" s="91"/>
    </row>
    <row r="406">
      <c r="A406" s="80"/>
      <c r="F406" s="92"/>
      <c r="H406" s="93"/>
      <c r="M406" s="91"/>
    </row>
    <row r="407">
      <c r="A407" s="80"/>
      <c r="F407" s="92"/>
      <c r="H407" s="93"/>
      <c r="M407" s="91"/>
    </row>
    <row r="408">
      <c r="A408" s="80"/>
      <c r="F408" s="92"/>
      <c r="H408" s="93"/>
      <c r="M408" s="91"/>
    </row>
    <row r="409">
      <c r="A409" s="80"/>
      <c r="F409" s="92"/>
      <c r="H409" s="93"/>
      <c r="M409" s="91"/>
    </row>
    <row r="410">
      <c r="A410" s="80"/>
      <c r="F410" s="92"/>
      <c r="H410" s="93"/>
      <c r="M410" s="91"/>
    </row>
    <row r="411">
      <c r="A411" s="80"/>
      <c r="F411" s="92"/>
      <c r="H411" s="93"/>
      <c r="M411" s="91"/>
    </row>
    <row r="412">
      <c r="A412" s="80"/>
      <c r="F412" s="92"/>
      <c r="H412" s="93"/>
      <c r="M412" s="91"/>
    </row>
    <row r="413">
      <c r="A413" s="80"/>
      <c r="F413" s="92"/>
      <c r="H413" s="93"/>
      <c r="M413" s="91"/>
    </row>
    <row r="414">
      <c r="A414" s="80"/>
      <c r="F414" s="92"/>
      <c r="H414" s="93"/>
      <c r="M414" s="91"/>
    </row>
    <row r="415">
      <c r="A415" s="80"/>
      <c r="F415" s="92"/>
      <c r="H415" s="93"/>
      <c r="M415" s="91"/>
    </row>
    <row r="416">
      <c r="A416" s="80"/>
      <c r="F416" s="92"/>
      <c r="H416" s="93"/>
      <c r="M416" s="91"/>
    </row>
    <row r="417">
      <c r="A417" s="80"/>
      <c r="F417" s="92"/>
      <c r="H417" s="93"/>
      <c r="M417" s="91"/>
    </row>
    <row r="418">
      <c r="A418" s="80"/>
      <c r="F418" s="92"/>
      <c r="H418" s="93"/>
      <c r="M418" s="91"/>
    </row>
    <row r="419">
      <c r="A419" s="80"/>
      <c r="F419" s="92"/>
      <c r="H419" s="93"/>
      <c r="M419" s="91"/>
    </row>
    <row r="420">
      <c r="A420" s="80"/>
      <c r="F420" s="92"/>
      <c r="H420" s="93"/>
      <c r="M420" s="91"/>
    </row>
    <row r="421">
      <c r="A421" s="80"/>
      <c r="F421" s="92"/>
      <c r="H421" s="93"/>
      <c r="M421" s="91"/>
    </row>
    <row r="422">
      <c r="A422" s="80"/>
      <c r="F422" s="92"/>
      <c r="H422" s="93"/>
      <c r="M422" s="91"/>
    </row>
    <row r="423">
      <c r="A423" s="80"/>
      <c r="F423" s="92"/>
      <c r="H423" s="93"/>
      <c r="M423" s="91"/>
    </row>
    <row r="424">
      <c r="A424" s="80"/>
      <c r="F424" s="92"/>
      <c r="H424" s="93"/>
      <c r="M424" s="91"/>
    </row>
    <row r="425">
      <c r="A425" s="80"/>
      <c r="F425" s="92"/>
      <c r="H425" s="93"/>
      <c r="M425" s="91"/>
    </row>
    <row r="426">
      <c r="A426" s="80"/>
      <c r="F426" s="92"/>
      <c r="H426" s="93"/>
      <c r="M426" s="91"/>
    </row>
    <row r="427">
      <c r="A427" s="80"/>
      <c r="F427" s="92"/>
      <c r="H427" s="93"/>
      <c r="M427" s="91"/>
    </row>
    <row r="428">
      <c r="A428" s="80"/>
      <c r="F428" s="92"/>
      <c r="H428" s="93"/>
      <c r="M428" s="91"/>
    </row>
    <row r="429">
      <c r="A429" s="80"/>
      <c r="F429" s="92"/>
      <c r="H429" s="93"/>
      <c r="M429" s="91"/>
    </row>
    <row r="430">
      <c r="A430" s="80"/>
      <c r="F430" s="92"/>
      <c r="H430" s="93"/>
      <c r="M430" s="91"/>
    </row>
    <row r="431">
      <c r="A431" s="80"/>
      <c r="F431" s="92"/>
      <c r="H431" s="93"/>
      <c r="M431" s="91"/>
    </row>
    <row r="432">
      <c r="A432" s="80"/>
      <c r="F432" s="92"/>
      <c r="H432" s="93"/>
      <c r="M432" s="91"/>
    </row>
    <row r="433">
      <c r="A433" s="80"/>
      <c r="F433" s="92"/>
      <c r="H433" s="93"/>
      <c r="M433" s="91"/>
    </row>
    <row r="434">
      <c r="A434" s="80"/>
      <c r="F434" s="92"/>
      <c r="H434" s="93"/>
      <c r="M434" s="91"/>
    </row>
    <row r="435">
      <c r="A435" s="80"/>
      <c r="F435" s="92"/>
      <c r="H435" s="93"/>
      <c r="M435" s="91"/>
    </row>
    <row r="436">
      <c r="A436" s="80"/>
      <c r="F436" s="92"/>
      <c r="H436" s="93"/>
      <c r="M436" s="91"/>
    </row>
    <row r="437">
      <c r="A437" s="80"/>
      <c r="F437" s="92"/>
      <c r="H437" s="93"/>
      <c r="M437" s="91"/>
    </row>
    <row r="438">
      <c r="A438" s="80"/>
      <c r="F438" s="92"/>
      <c r="H438" s="93"/>
      <c r="M438" s="91"/>
    </row>
    <row r="439">
      <c r="A439" s="80"/>
      <c r="F439" s="92"/>
      <c r="H439" s="93"/>
      <c r="M439" s="91"/>
    </row>
    <row r="440">
      <c r="A440" s="80"/>
      <c r="F440" s="92"/>
      <c r="H440" s="93"/>
      <c r="M440" s="91"/>
    </row>
    <row r="441">
      <c r="A441" s="80"/>
      <c r="F441" s="92"/>
      <c r="H441" s="93"/>
      <c r="M441" s="91"/>
    </row>
    <row r="442">
      <c r="A442" s="80"/>
      <c r="F442" s="92"/>
      <c r="H442" s="93"/>
      <c r="M442" s="91"/>
    </row>
    <row r="443">
      <c r="A443" s="80"/>
      <c r="F443" s="92"/>
      <c r="H443" s="93"/>
      <c r="M443" s="91"/>
    </row>
    <row r="444">
      <c r="A444" s="80"/>
      <c r="F444" s="92"/>
      <c r="H444" s="93"/>
      <c r="M444" s="91"/>
    </row>
    <row r="445">
      <c r="A445" s="80"/>
      <c r="F445" s="92"/>
      <c r="H445" s="93"/>
      <c r="M445" s="91"/>
    </row>
    <row r="446">
      <c r="A446" s="80"/>
      <c r="F446" s="92"/>
      <c r="H446" s="93"/>
      <c r="M446" s="91"/>
    </row>
    <row r="447">
      <c r="A447" s="80"/>
      <c r="F447" s="92"/>
      <c r="H447" s="93"/>
      <c r="M447" s="91"/>
    </row>
    <row r="448">
      <c r="A448" s="80"/>
      <c r="F448" s="92"/>
      <c r="H448" s="93"/>
      <c r="M448" s="91"/>
    </row>
    <row r="449">
      <c r="A449" s="80"/>
      <c r="F449" s="92"/>
      <c r="H449" s="93"/>
      <c r="M449" s="91"/>
    </row>
    <row r="450">
      <c r="A450" s="80"/>
      <c r="F450" s="92"/>
      <c r="H450" s="93"/>
      <c r="M450" s="91"/>
    </row>
    <row r="451">
      <c r="A451" s="80"/>
      <c r="F451" s="92"/>
      <c r="H451" s="93"/>
      <c r="M451" s="91"/>
    </row>
    <row r="452">
      <c r="A452" s="80"/>
      <c r="F452" s="92"/>
      <c r="H452" s="93"/>
      <c r="M452" s="91"/>
    </row>
    <row r="453">
      <c r="A453" s="80"/>
      <c r="F453" s="92"/>
      <c r="H453" s="93"/>
      <c r="M453" s="91"/>
    </row>
    <row r="454">
      <c r="A454" s="80"/>
      <c r="F454" s="92"/>
      <c r="H454" s="93"/>
      <c r="M454" s="91"/>
    </row>
    <row r="455">
      <c r="A455" s="80"/>
      <c r="F455" s="92"/>
      <c r="H455" s="93"/>
      <c r="M455" s="91"/>
    </row>
    <row r="456">
      <c r="A456" s="80"/>
      <c r="F456" s="92"/>
      <c r="H456" s="93"/>
      <c r="M456" s="91"/>
    </row>
    <row r="457">
      <c r="A457" s="80"/>
      <c r="F457" s="92"/>
      <c r="H457" s="93"/>
      <c r="M457" s="91"/>
    </row>
    <row r="458">
      <c r="A458" s="80"/>
      <c r="F458" s="92"/>
      <c r="H458" s="93"/>
      <c r="M458" s="91"/>
    </row>
    <row r="459">
      <c r="A459" s="80"/>
      <c r="F459" s="92"/>
      <c r="H459" s="93"/>
      <c r="M459" s="91"/>
    </row>
    <row r="460">
      <c r="A460" s="80"/>
      <c r="F460" s="92"/>
      <c r="H460" s="93"/>
      <c r="M460" s="91"/>
    </row>
    <row r="461">
      <c r="A461" s="80"/>
      <c r="F461" s="92"/>
      <c r="H461" s="93"/>
      <c r="M461" s="91"/>
    </row>
    <row r="462">
      <c r="A462" s="80"/>
      <c r="F462" s="92"/>
      <c r="H462" s="93"/>
      <c r="M462" s="91"/>
    </row>
    <row r="463">
      <c r="A463" s="80"/>
      <c r="F463" s="92"/>
      <c r="H463" s="93"/>
      <c r="M463" s="91"/>
    </row>
    <row r="464">
      <c r="A464" s="80"/>
      <c r="F464" s="92"/>
      <c r="H464" s="93"/>
      <c r="M464" s="91"/>
    </row>
    <row r="465">
      <c r="A465" s="80"/>
      <c r="F465" s="92"/>
      <c r="H465" s="93"/>
      <c r="M465" s="91"/>
    </row>
    <row r="466">
      <c r="A466" s="80"/>
      <c r="F466" s="92"/>
      <c r="H466" s="93"/>
      <c r="M466" s="91"/>
    </row>
    <row r="467">
      <c r="A467" s="80"/>
      <c r="F467" s="92"/>
      <c r="H467" s="93"/>
      <c r="M467" s="91"/>
    </row>
    <row r="468">
      <c r="A468" s="80"/>
      <c r="F468" s="92"/>
      <c r="H468" s="93"/>
      <c r="M468" s="91"/>
    </row>
    <row r="469">
      <c r="A469" s="80"/>
      <c r="F469" s="92"/>
      <c r="H469" s="93"/>
      <c r="M469" s="91"/>
    </row>
    <row r="470">
      <c r="A470" s="80"/>
      <c r="F470" s="92"/>
      <c r="H470" s="93"/>
      <c r="M470" s="91"/>
    </row>
    <row r="471">
      <c r="A471" s="80"/>
      <c r="F471" s="92"/>
      <c r="H471" s="93"/>
      <c r="M471" s="91"/>
    </row>
    <row r="472">
      <c r="A472" s="80"/>
      <c r="F472" s="92"/>
      <c r="H472" s="93"/>
      <c r="M472" s="91"/>
    </row>
    <row r="473">
      <c r="A473" s="80"/>
      <c r="F473" s="92"/>
      <c r="H473" s="93"/>
      <c r="M473" s="91"/>
    </row>
    <row r="474">
      <c r="A474" s="80"/>
      <c r="F474" s="92"/>
      <c r="H474" s="93"/>
      <c r="M474" s="91"/>
    </row>
    <row r="475">
      <c r="A475" s="80"/>
      <c r="F475" s="92"/>
      <c r="H475" s="93"/>
      <c r="M475" s="91"/>
    </row>
    <row r="476">
      <c r="A476" s="80"/>
      <c r="F476" s="92"/>
      <c r="H476" s="93"/>
      <c r="M476" s="91"/>
    </row>
    <row r="477">
      <c r="A477" s="80"/>
      <c r="F477" s="92"/>
      <c r="H477" s="93"/>
      <c r="M477" s="91"/>
    </row>
    <row r="478">
      <c r="A478" s="80"/>
      <c r="F478" s="92"/>
      <c r="H478" s="93"/>
      <c r="M478" s="91"/>
    </row>
    <row r="479">
      <c r="A479" s="80"/>
      <c r="F479" s="92"/>
      <c r="H479" s="93"/>
      <c r="M479" s="91"/>
    </row>
    <row r="480">
      <c r="A480" s="80"/>
      <c r="F480" s="92"/>
      <c r="H480" s="93"/>
      <c r="M480" s="91"/>
    </row>
    <row r="481">
      <c r="A481" s="80"/>
      <c r="F481" s="92"/>
      <c r="H481" s="93"/>
      <c r="M481" s="91"/>
    </row>
    <row r="482">
      <c r="A482" s="80"/>
      <c r="F482" s="92"/>
      <c r="H482" s="93"/>
      <c r="M482" s="91"/>
    </row>
    <row r="483">
      <c r="A483" s="80"/>
      <c r="F483" s="92"/>
      <c r="H483" s="93"/>
      <c r="M483" s="91"/>
    </row>
    <row r="484">
      <c r="A484" s="80"/>
      <c r="F484" s="92"/>
      <c r="H484" s="93"/>
      <c r="M484" s="91"/>
    </row>
    <row r="485">
      <c r="A485" s="80"/>
      <c r="F485" s="92"/>
      <c r="H485" s="93"/>
      <c r="M485" s="91"/>
    </row>
    <row r="486">
      <c r="A486" s="80"/>
      <c r="F486" s="92"/>
      <c r="H486" s="93"/>
      <c r="M486" s="91"/>
    </row>
    <row r="487">
      <c r="A487" s="80"/>
      <c r="F487" s="92"/>
      <c r="H487" s="93"/>
      <c r="M487" s="91"/>
    </row>
    <row r="488">
      <c r="A488" s="80"/>
      <c r="F488" s="92"/>
      <c r="H488" s="93"/>
      <c r="M488" s="91"/>
    </row>
    <row r="489">
      <c r="A489" s="80"/>
      <c r="F489" s="92"/>
      <c r="H489" s="93"/>
      <c r="M489" s="91"/>
    </row>
    <row r="490">
      <c r="A490" s="80"/>
      <c r="F490" s="92"/>
      <c r="H490" s="93"/>
      <c r="M490" s="91"/>
    </row>
    <row r="491">
      <c r="A491" s="80"/>
      <c r="F491" s="92"/>
      <c r="H491" s="93"/>
      <c r="M491" s="91"/>
    </row>
    <row r="492">
      <c r="A492" s="80"/>
      <c r="F492" s="92"/>
      <c r="H492" s="93"/>
      <c r="M492" s="91"/>
    </row>
    <row r="493">
      <c r="A493" s="80"/>
      <c r="F493" s="92"/>
      <c r="H493" s="93"/>
      <c r="M493" s="91"/>
    </row>
    <row r="494">
      <c r="A494" s="80"/>
      <c r="F494" s="92"/>
      <c r="H494" s="93"/>
      <c r="M494" s="91"/>
    </row>
    <row r="495">
      <c r="A495" s="80"/>
      <c r="F495" s="92"/>
      <c r="H495" s="93"/>
      <c r="M495" s="91"/>
    </row>
    <row r="496">
      <c r="A496" s="80"/>
      <c r="F496" s="92"/>
      <c r="H496" s="93"/>
      <c r="M496" s="91"/>
    </row>
    <row r="497">
      <c r="A497" s="80"/>
      <c r="F497" s="92"/>
      <c r="H497" s="93"/>
      <c r="M497" s="91"/>
    </row>
    <row r="498">
      <c r="A498" s="80"/>
      <c r="F498" s="92"/>
      <c r="H498" s="93"/>
      <c r="M498" s="91"/>
    </row>
    <row r="499">
      <c r="A499" s="80"/>
      <c r="F499" s="92"/>
      <c r="H499" s="93"/>
      <c r="M499" s="91"/>
    </row>
    <row r="500">
      <c r="A500" s="80"/>
      <c r="F500" s="92"/>
      <c r="H500" s="93"/>
      <c r="M500" s="91"/>
    </row>
    <row r="501">
      <c r="A501" s="80"/>
      <c r="F501" s="92"/>
      <c r="H501" s="93"/>
      <c r="M501" s="91"/>
    </row>
    <row r="502">
      <c r="A502" s="80"/>
      <c r="F502" s="92"/>
      <c r="H502" s="93"/>
      <c r="M502" s="91"/>
    </row>
    <row r="503">
      <c r="A503" s="80"/>
      <c r="F503" s="92"/>
      <c r="H503" s="93"/>
      <c r="M503" s="91"/>
    </row>
    <row r="504">
      <c r="A504" s="80"/>
      <c r="F504" s="92"/>
      <c r="H504" s="93"/>
      <c r="M504" s="91"/>
    </row>
    <row r="505">
      <c r="A505" s="80"/>
      <c r="F505" s="92"/>
      <c r="H505" s="93"/>
      <c r="M505" s="91"/>
    </row>
    <row r="506">
      <c r="A506" s="80"/>
      <c r="F506" s="92"/>
      <c r="H506" s="93"/>
      <c r="M506" s="91"/>
    </row>
    <row r="507">
      <c r="A507" s="80"/>
      <c r="F507" s="92"/>
      <c r="H507" s="93"/>
      <c r="M507" s="91"/>
    </row>
    <row r="508">
      <c r="A508" s="80"/>
      <c r="F508" s="92"/>
      <c r="H508" s="93"/>
      <c r="M508" s="91"/>
    </row>
    <row r="509">
      <c r="A509" s="80"/>
      <c r="F509" s="92"/>
      <c r="H509" s="93"/>
      <c r="M509" s="91"/>
    </row>
    <row r="510">
      <c r="A510" s="80"/>
      <c r="F510" s="92"/>
      <c r="H510" s="93"/>
      <c r="M510" s="91"/>
    </row>
    <row r="511">
      <c r="A511" s="80"/>
      <c r="F511" s="92"/>
      <c r="H511" s="93"/>
      <c r="M511" s="91"/>
    </row>
    <row r="512">
      <c r="A512" s="80"/>
      <c r="F512" s="92"/>
      <c r="H512" s="93"/>
      <c r="M512" s="91"/>
    </row>
    <row r="513">
      <c r="A513" s="80"/>
      <c r="F513" s="92"/>
      <c r="H513" s="93"/>
      <c r="M513" s="91"/>
    </row>
    <row r="514">
      <c r="A514" s="80"/>
      <c r="F514" s="92"/>
      <c r="H514" s="93"/>
      <c r="M514" s="91"/>
    </row>
    <row r="515">
      <c r="A515" s="80"/>
      <c r="F515" s="92"/>
      <c r="H515" s="93"/>
      <c r="M515" s="91"/>
    </row>
    <row r="516">
      <c r="A516" s="80"/>
      <c r="F516" s="92"/>
      <c r="H516" s="93"/>
      <c r="M516" s="91"/>
    </row>
    <row r="517">
      <c r="A517" s="80"/>
      <c r="F517" s="92"/>
      <c r="H517" s="93"/>
      <c r="M517" s="91"/>
    </row>
    <row r="518">
      <c r="A518" s="80"/>
      <c r="F518" s="92"/>
      <c r="H518" s="93"/>
      <c r="M518" s="91"/>
    </row>
    <row r="519">
      <c r="A519" s="80"/>
      <c r="F519" s="92"/>
      <c r="H519" s="93"/>
      <c r="M519" s="91"/>
    </row>
    <row r="520">
      <c r="A520" s="80"/>
      <c r="F520" s="92"/>
      <c r="H520" s="93"/>
      <c r="M520" s="91"/>
    </row>
    <row r="521">
      <c r="A521" s="80"/>
      <c r="F521" s="92"/>
      <c r="H521" s="93"/>
      <c r="M521" s="91"/>
    </row>
    <row r="522">
      <c r="A522" s="80"/>
      <c r="F522" s="92"/>
      <c r="H522" s="93"/>
      <c r="M522" s="91"/>
    </row>
    <row r="523">
      <c r="A523" s="80"/>
      <c r="F523" s="92"/>
      <c r="H523" s="93"/>
      <c r="M523" s="91"/>
    </row>
    <row r="524">
      <c r="A524" s="80"/>
      <c r="F524" s="92"/>
      <c r="H524" s="93"/>
      <c r="M524" s="91"/>
    </row>
    <row r="525">
      <c r="A525" s="80"/>
      <c r="F525" s="92"/>
      <c r="H525" s="93"/>
      <c r="M525" s="91"/>
    </row>
    <row r="526">
      <c r="A526" s="80"/>
      <c r="F526" s="92"/>
      <c r="H526" s="93"/>
      <c r="M526" s="91"/>
    </row>
    <row r="527">
      <c r="A527" s="80"/>
      <c r="F527" s="92"/>
      <c r="H527" s="93"/>
      <c r="M527" s="91"/>
    </row>
    <row r="528">
      <c r="A528" s="80"/>
      <c r="F528" s="92"/>
      <c r="H528" s="93"/>
      <c r="M528" s="91"/>
    </row>
    <row r="529">
      <c r="A529" s="80"/>
      <c r="F529" s="92"/>
      <c r="H529" s="93"/>
      <c r="M529" s="91"/>
    </row>
    <row r="530">
      <c r="A530" s="80"/>
      <c r="F530" s="92"/>
      <c r="H530" s="93"/>
      <c r="M530" s="91"/>
    </row>
    <row r="531">
      <c r="A531" s="80"/>
      <c r="F531" s="92"/>
      <c r="H531" s="93"/>
      <c r="M531" s="91"/>
    </row>
    <row r="532">
      <c r="A532" s="80"/>
      <c r="F532" s="92"/>
      <c r="H532" s="93"/>
      <c r="M532" s="91"/>
    </row>
    <row r="533">
      <c r="A533" s="80"/>
      <c r="F533" s="92"/>
      <c r="H533" s="93"/>
      <c r="M533" s="91"/>
    </row>
    <row r="534">
      <c r="A534" s="80"/>
      <c r="F534" s="92"/>
      <c r="H534" s="93"/>
      <c r="M534" s="91"/>
    </row>
    <row r="535">
      <c r="A535" s="80"/>
      <c r="F535" s="92"/>
      <c r="H535" s="93"/>
      <c r="M535" s="91"/>
    </row>
    <row r="536">
      <c r="A536" s="80"/>
      <c r="F536" s="92"/>
      <c r="H536" s="93"/>
      <c r="M536" s="91"/>
    </row>
    <row r="537">
      <c r="A537" s="80"/>
      <c r="F537" s="92"/>
      <c r="H537" s="93"/>
      <c r="M537" s="91"/>
    </row>
    <row r="538">
      <c r="A538" s="80"/>
      <c r="F538" s="92"/>
      <c r="H538" s="93"/>
      <c r="M538" s="91"/>
    </row>
    <row r="539">
      <c r="A539" s="80"/>
      <c r="F539" s="92"/>
      <c r="H539" s="93"/>
      <c r="M539" s="91"/>
    </row>
    <row r="540">
      <c r="A540" s="80"/>
      <c r="F540" s="92"/>
      <c r="H540" s="93"/>
      <c r="M540" s="91"/>
    </row>
    <row r="541">
      <c r="A541" s="80"/>
      <c r="F541" s="92"/>
      <c r="H541" s="93"/>
      <c r="M541" s="91"/>
    </row>
    <row r="542">
      <c r="A542" s="80"/>
      <c r="F542" s="92"/>
      <c r="H542" s="93"/>
      <c r="M542" s="91"/>
    </row>
    <row r="543">
      <c r="A543" s="80"/>
      <c r="F543" s="92"/>
      <c r="H543" s="93"/>
      <c r="M543" s="91"/>
    </row>
    <row r="544">
      <c r="A544" s="80"/>
      <c r="F544" s="92"/>
      <c r="H544" s="93"/>
      <c r="M544" s="91"/>
    </row>
    <row r="545">
      <c r="A545" s="80"/>
      <c r="F545" s="92"/>
      <c r="H545" s="93"/>
      <c r="M545" s="91"/>
    </row>
    <row r="546">
      <c r="A546" s="80"/>
      <c r="F546" s="92"/>
      <c r="H546" s="93"/>
      <c r="M546" s="91"/>
    </row>
    <row r="547">
      <c r="A547" s="80"/>
      <c r="F547" s="92"/>
      <c r="H547" s="93"/>
      <c r="M547" s="91"/>
    </row>
    <row r="548">
      <c r="A548" s="80"/>
      <c r="F548" s="92"/>
      <c r="H548" s="93"/>
      <c r="M548" s="91"/>
    </row>
    <row r="549">
      <c r="A549" s="80"/>
      <c r="F549" s="92"/>
      <c r="H549" s="93"/>
      <c r="M549" s="91"/>
    </row>
    <row r="550">
      <c r="A550" s="80"/>
      <c r="F550" s="92"/>
      <c r="H550" s="93"/>
      <c r="M550" s="91"/>
    </row>
    <row r="551">
      <c r="A551" s="80"/>
      <c r="F551" s="92"/>
      <c r="H551" s="93"/>
      <c r="M551" s="91"/>
    </row>
    <row r="552">
      <c r="A552" s="80"/>
      <c r="F552" s="92"/>
      <c r="H552" s="93"/>
      <c r="M552" s="91"/>
    </row>
    <row r="553">
      <c r="A553" s="80"/>
      <c r="F553" s="92"/>
      <c r="H553" s="93"/>
      <c r="M553" s="91"/>
    </row>
    <row r="554">
      <c r="A554" s="80"/>
      <c r="F554" s="92"/>
      <c r="H554" s="93"/>
      <c r="M554" s="91"/>
    </row>
    <row r="555">
      <c r="A555" s="80"/>
      <c r="F555" s="92"/>
      <c r="H555" s="93"/>
      <c r="M555" s="91"/>
    </row>
    <row r="556">
      <c r="A556" s="80"/>
      <c r="F556" s="92"/>
      <c r="H556" s="93"/>
      <c r="M556" s="91"/>
    </row>
    <row r="557">
      <c r="A557" s="80"/>
      <c r="F557" s="92"/>
      <c r="H557" s="93"/>
      <c r="M557" s="91"/>
    </row>
    <row r="558">
      <c r="A558" s="80"/>
      <c r="F558" s="92"/>
      <c r="H558" s="93"/>
      <c r="M558" s="91"/>
    </row>
    <row r="559">
      <c r="A559" s="80"/>
      <c r="F559" s="92"/>
      <c r="H559" s="93"/>
      <c r="M559" s="91"/>
    </row>
    <row r="560">
      <c r="A560" s="80"/>
      <c r="F560" s="92"/>
      <c r="H560" s="93"/>
      <c r="M560" s="91"/>
    </row>
    <row r="561">
      <c r="A561" s="80"/>
      <c r="F561" s="92"/>
      <c r="H561" s="93"/>
      <c r="M561" s="91"/>
    </row>
    <row r="562">
      <c r="A562" s="80"/>
      <c r="F562" s="92"/>
      <c r="H562" s="93"/>
      <c r="M562" s="91"/>
    </row>
    <row r="563">
      <c r="A563" s="80"/>
      <c r="F563" s="92"/>
      <c r="H563" s="93"/>
      <c r="M563" s="91"/>
    </row>
    <row r="564">
      <c r="A564" s="80"/>
      <c r="F564" s="92"/>
      <c r="H564" s="93"/>
      <c r="M564" s="91"/>
    </row>
    <row r="565">
      <c r="A565" s="80"/>
      <c r="F565" s="92"/>
      <c r="H565" s="93"/>
      <c r="M565" s="91"/>
    </row>
    <row r="566">
      <c r="A566" s="80"/>
      <c r="F566" s="92"/>
      <c r="H566" s="93"/>
      <c r="M566" s="91"/>
    </row>
    <row r="567">
      <c r="A567" s="80"/>
      <c r="F567" s="92"/>
      <c r="H567" s="93"/>
      <c r="M567" s="91"/>
    </row>
    <row r="568">
      <c r="A568" s="80"/>
      <c r="F568" s="92"/>
      <c r="H568" s="93"/>
      <c r="M568" s="91"/>
    </row>
    <row r="569">
      <c r="A569" s="80"/>
      <c r="F569" s="92"/>
      <c r="H569" s="93"/>
      <c r="M569" s="91"/>
    </row>
    <row r="570">
      <c r="A570" s="80"/>
      <c r="F570" s="92"/>
      <c r="H570" s="93"/>
      <c r="M570" s="91"/>
    </row>
    <row r="571">
      <c r="A571" s="80"/>
      <c r="F571" s="92"/>
      <c r="H571" s="93"/>
      <c r="M571" s="91"/>
    </row>
    <row r="572">
      <c r="A572" s="80"/>
      <c r="F572" s="92"/>
      <c r="H572" s="93"/>
      <c r="M572" s="91"/>
    </row>
    <row r="573">
      <c r="A573" s="80"/>
      <c r="F573" s="92"/>
      <c r="H573" s="93"/>
      <c r="M573" s="91"/>
    </row>
    <row r="574">
      <c r="A574" s="80"/>
      <c r="F574" s="92"/>
      <c r="H574" s="93"/>
      <c r="M574" s="91"/>
    </row>
    <row r="575">
      <c r="A575" s="80"/>
      <c r="F575" s="92"/>
      <c r="H575" s="93"/>
      <c r="M575" s="91"/>
    </row>
    <row r="576">
      <c r="A576" s="80"/>
      <c r="F576" s="92"/>
      <c r="H576" s="93"/>
      <c r="M576" s="91"/>
    </row>
    <row r="577">
      <c r="A577" s="80"/>
      <c r="F577" s="92"/>
      <c r="H577" s="93"/>
      <c r="M577" s="91"/>
    </row>
    <row r="578">
      <c r="A578" s="80"/>
      <c r="F578" s="92"/>
      <c r="H578" s="93"/>
      <c r="M578" s="91"/>
    </row>
    <row r="579">
      <c r="A579" s="80"/>
      <c r="F579" s="92"/>
      <c r="H579" s="93"/>
      <c r="M579" s="91"/>
    </row>
    <row r="580">
      <c r="A580" s="80"/>
      <c r="F580" s="92"/>
      <c r="H580" s="93"/>
      <c r="M580" s="91"/>
    </row>
    <row r="581">
      <c r="A581" s="80"/>
      <c r="F581" s="92"/>
      <c r="H581" s="93"/>
      <c r="M581" s="91"/>
    </row>
    <row r="582">
      <c r="A582" s="80"/>
      <c r="F582" s="92"/>
      <c r="H582" s="93"/>
      <c r="M582" s="91"/>
    </row>
    <row r="583">
      <c r="A583" s="80"/>
      <c r="F583" s="92"/>
      <c r="H583" s="93"/>
      <c r="M583" s="91"/>
    </row>
    <row r="584">
      <c r="A584" s="80"/>
      <c r="F584" s="92"/>
      <c r="H584" s="93"/>
      <c r="M584" s="91"/>
    </row>
    <row r="585">
      <c r="A585" s="80"/>
      <c r="F585" s="92"/>
      <c r="H585" s="93"/>
      <c r="M585" s="91"/>
    </row>
    <row r="586">
      <c r="A586" s="80"/>
      <c r="F586" s="92"/>
      <c r="H586" s="93"/>
      <c r="M586" s="91"/>
    </row>
    <row r="587">
      <c r="A587" s="80"/>
      <c r="F587" s="92"/>
      <c r="H587" s="93"/>
      <c r="M587" s="91"/>
    </row>
    <row r="588">
      <c r="A588" s="80"/>
      <c r="F588" s="92"/>
      <c r="H588" s="93"/>
      <c r="M588" s="91"/>
    </row>
    <row r="589">
      <c r="A589" s="80"/>
      <c r="F589" s="92"/>
      <c r="H589" s="93"/>
      <c r="M589" s="91"/>
    </row>
    <row r="590">
      <c r="A590" s="80"/>
      <c r="F590" s="92"/>
      <c r="H590" s="93"/>
      <c r="M590" s="91"/>
    </row>
    <row r="591">
      <c r="A591" s="80"/>
      <c r="F591" s="92"/>
      <c r="H591" s="93"/>
      <c r="M591" s="91"/>
    </row>
    <row r="592">
      <c r="A592" s="80"/>
      <c r="F592" s="92"/>
      <c r="H592" s="93"/>
      <c r="M592" s="91"/>
    </row>
    <row r="593">
      <c r="A593" s="80"/>
      <c r="F593" s="92"/>
      <c r="H593" s="93"/>
      <c r="M593" s="91"/>
    </row>
    <row r="594">
      <c r="A594" s="80"/>
      <c r="F594" s="92"/>
      <c r="H594" s="93"/>
      <c r="M594" s="91"/>
    </row>
    <row r="595">
      <c r="A595" s="80"/>
      <c r="F595" s="92"/>
      <c r="H595" s="93"/>
      <c r="M595" s="91"/>
    </row>
    <row r="596">
      <c r="A596" s="80"/>
      <c r="F596" s="92"/>
      <c r="H596" s="93"/>
      <c r="M596" s="91"/>
    </row>
    <row r="597">
      <c r="A597" s="80"/>
      <c r="F597" s="92"/>
      <c r="H597" s="93"/>
      <c r="M597" s="91"/>
    </row>
    <row r="598">
      <c r="A598" s="80"/>
      <c r="F598" s="92"/>
      <c r="H598" s="93"/>
      <c r="M598" s="91"/>
    </row>
    <row r="599">
      <c r="A599" s="80"/>
      <c r="F599" s="92"/>
      <c r="H599" s="93"/>
      <c r="M599" s="91"/>
    </row>
    <row r="600">
      <c r="A600" s="80"/>
      <c r="F600" s="92"/>
      <c r="H600" s="93"/>
      <c r="M600" s="91"/>
    </row>
    <row r="601">
      <c r="A601" s="80"/>
      <c r="F601" s="92"/>
      <c r="H601" s="93"/>
      <c r="M601" s="91"/>
    </row>
    <row r="602">
      <c r="A602" s="80"/>
      <c r="F602" s="92"/>
      <c r="H602" s="93"/>
      <c r="M602" s="91"/>
    </row>
    <row r="603">
      <c r="A603" s="80"/>
      <c r="F603" s="92"/>
      <c r="H603" s="93"/>
      <c r="M603" s="91"/>
    </row>
    <row r="604">
      <c r="A604" s="80"/>
      <c r="F604" s="92"/>
      <c r="H604" s="93"/>
      <c r="M604" s="91"/>
    </row>
    <row r="605">
      <c r="A605" s="80"/>
      <c r="F605" s="92"/>
      <c r="H605" s="93"/>
      <c r="M605" s="91"/>
    </row>
    <row r="606">
      <c r="A606" s="80"/>
      <c r="F606" s="92"/>
      <c r="H606" s="93"/>
      <c r="M606" s="91"/>
    </row>
    <row r="607">
      <c r="A607" s="80"/>
      <c r="F607" s="92"/>
      <c r="H607" s="93"/>
      <c r="M607" s="91"/>
    </row>
    <row r="608">
      <c r="A608" s="80"/>
      <c r="F608" s="92"/>
      <c r="H608" s="93"/>
      <c r="M608" s="91"/>
    </row>
    <row r="609">
      <c r="A609" s="80"/>
      <c r="F609" s="92"/>
      <c r="H609" s="93"/>
      <c r="M609" s="91"/>
    </row>
    <row r="610">
      <c r="A610" s="80"/>
      <c r="F610" s="92"/>
      <c r="H610" s="93"/>
      <c r="M610" s="91"/>
    </row>
    <row r="611">
      <c r="A611" s="80"/>
      <c r="F611" s="92"/>
      <c r="H611" s="93"/>
      <c r="M611" s="91"/>
    </row>
    <row r="612">
      <c r="A612" s="80"/>
      <c r="F612" s="92"/>
      <c r="H612" s="93"/>
      <c r="M612" s="91"/>
    </row>
    <row r="613">
      <c r="A613" s="80"/>
      <c r="F613" s="92"/>
      <c r="H613" s="93"/>
      <c r="M613" s="91"/>
    </row>
    <row r="614">
      <c r="A614" s="80"/>
      <c r="F614" s="92"/>
      <c r="H614" s="93"/>
      <c r="M614" s="91"/>
    </row>
    <row r="615">
      <c r="A615" s="80"/>
      <c r="F615" s="92"/>
      <c r="H615" s="93"/>
      <c r="M615" s="91"/>
    </row>
    <row r="616">
      <c r="A616" s="80"/>
      <c r="F616" s="92"/>
      <c r="H616" s="93"/>
      <c r="M616" s="91"/>
    </row>
    <row r="617">
      <c r="A617" s="80"/>
      <c r="F617" s="92"/>
      <c r="H617" s="93"/>
      <c r="M617" s="91"/>
    </row>
    <row r="618">
      <c r="A618" s="80"/>
      <c r="F618" s="92"/>
      <c r="H618" s="93"/>
      <c r="M618" s="91"/>
    </row>
    <row r="619">
      <c r="A619" s="80"/>
      <c r="F619" s="92"/>
      <c r="H619" s="93"/>
      <c r="M619" s="91"/>
    </row>
    <row r="620">
      <c r="A620" s="80"/>
      <c r="F620" s="92"/>
      <c r="H620" s="93"/>
      <c r="M620" s="91"/>
    </row>
    <row r="621">
      <c r="A621" s="80"/>
      <c r="F621" s="92"/>
      <c r="H621" s="93"/>
      <c r="M621" s="91"/>
    </row>
    <row r="622">
      <c r="A622" s="80"/>
      <c r="F622" s="92"/>
      <c r="H622" s="93"/>
      <c r="M622" s="91"/>
    </row>
    <row r="623">
      <c r="A623" s="80"/>
      <c r="F623" s="92"/>
      <c r="H623" s="93"/>
      <c r="M623" s="91"/>
    </row>
    <row r="624">
      <c r="A624" s="80"/>
      <c r="F624" s="92"/>
      <c r="H624" s="93"/>
      <c r="M624" s="91"/>
    </row>
    <row r="625">
      <c r="A625" s="80"/>
      <c r="F625" s="92"/>
      <c r="H625" s="93"/>
      <c r="M625" s="91"/>
    </row>
    <row r="626">
      <c r="A626" s="80"/>
      <c r="F626" s="92"/>
      <c r="H626" s="93"/>
      <c r="M626" s="91"/>
    </row>
    <row r="627">
      <c r="A627" s="80"/>
      <c r="F627" s="92"/>
      <c r="H627" s="93"/>
      <c r="M627" s="91"/>
    </row>
    <row r="628">
      <c r="A628" s="80"/>
      <c r="F628" s="92"/>
      <c r="H628" s="93"/>
      <c r="M628" s="91"/>
    </row>
    <row r="629">
      <c r="A629" s="80"/>
      <c r="F629" s="92"/>
      <c r="H629" s="93"/>
      <c r="M629" s="91"/>
    </row>
    <row r="630">
      <c r="A630" s="80"/>
      <c r="F630" s="92"/>
      <c r="H630" s="93"/>
      <c r="M630" s="91"/>
    </row>
    <row r="631">
      <c r="A631" s="80"/>
      <c r="F631" s="92"/>
      <c r="H631" s="93"/>
      <c r="M631" s="91"/>
    </row>
    <row r="632">
      <c r="A632" s="80"/>
      <c r="F632" s="92"/>
      <c r="H632" s="93"/>
      <c r="M632" s="91"/>
    </row>
    <row r="633">
      <c r="A633" s="80"/>
      <c r="F633" s="92"/>
      <c r="H633" s="93"/>
      <c r="M633" s="91"/>
    </row>
    <row r="634">
      <c r="A634" s="80"/>
      <c r="F634" s="92"/>
      <c r="H634" s="93"/>
      <c r="M634" s="91"/>
    </row>
    <row r="635">
      <c r="A635" s="80"/>
      <c r="F635" s="92"/>
      <c r="H635" s="93"/>
      <c r="M635" s="91"/>
    </row>
    <row r="636">
      <c r="A636" s="80"/>
      <c r="F636" s="92"/>
      <c r="H636" s="93"/>
      <c r="M636" s="91"/>
    </row>
    <row r="637">
      <c r="A637" s="80"/>
      <c r="F637" s="92"/>
      <c r="H637" s="93"/>
      <c r="M637" s="91"/>
    </row>
    <row r="638">
      <c r="A638" s="80"/>
      <c r="F638" s="92"/>
      <c r="H638" s="93"/>
      <c r="M638" s="91"/>
    </row>
    <row r="639">
      <c r="A639" s="80"/>
      <c r="F639" s="92"/>
      <c r="H639" s="93"/>
      <c r="M639" s="91"/>
    </row>
    <row r="640">
      <c r="A640" s="80"/>
      <c r="F640" s="92"/>
      <c r="H640" s="93"/>
      <c r="M640" s="91"/>
    </row>
    <row r="641">
      <c r="A641" s="80"/>
      <c r="F641" s="92"/>
      <c r="H641" s="93"/>
      <c r="M641" s="91"/>
    </row>
    <row r="642">
      <c r="A642" s="80"/>
      <c r="F642" s="92"/>
      <c r="H642" s="93"/>
      <c r="M642" s="91"/>
    </row>
    <row r="643">
      <c r="A643" s="80"/>
      <c r="F643" s="92"/>
      <c r="H643" s="93"/>
      <c r="M643" s="91"/>
    </row>
    <row r="644">
      <c r="A644" s="80"/>
      <c r="F644" s="92"/>
      <c r="H644" s="93"/>
      <c r="M644" s="91"/>
    </row>
    <row r="645">
      <c r="A645" s="80"/>
      <c r="F645" s="92"/>
      <c r="H645" s="93"/>
      <c r="M645" s="91"/>
    </row>
    <row r="646">
      <c r="A646" s="80"/>
      <c r="F646" s="92"/>
      <c r="H646" s="93"/>
      <c r="M646" s="91"/>
    </row>
    <row r="647">
      <c r="A647" s="80"/>
      <c r="F647" s="92"/>
      <c r="H647" s="93"/>
      <c r="M647" s="91"/>
    </row>
    <row r="648">
      <c r="A648" s="80"/>
      <c r="F648" s="92"/>
      <c r="H648" s="93"/>
      <c r="M648" s="91"/>
    </row>
    <row r="649">
      <c r="A649" s="80"/>
      <c r="F649" s="92"/>
      <c r="H649" s="93"/>
      <c r="M649" s="91"/>
    </row>
    <row r="650">
      <c r="A650" s="80"/>
      <c r="F650" s="92"/>
      <c r="H650" s="93"/>
      <c r="M650" s="91"/>
    </row>
    <row r="651">
      <c r="A651" s="80"/>
      <c r="F651" s="92"/>
      <c r="H651" s="93"/>
      <c r="M651" s="91"/>
    </row>
    <row r="652">
      <c r="A652" s="80"/>
      <c r="F652" s="92"/>
      <c r="H652" s="93"/>
      <c r="M652" s="91"/>
    </row>
    <row r="653">
      <c r="A653" s="80"/>
      <c r="F653" s="92"/>
      <c r="H653" s="93"/>
      <c r="M653" s="91"/>
    </row>
    <row r="654">
      <c r="A654" s="80"/>
      <c r="F654" s="92"/>
      <c r="H654" s="93"/>
      <c r="M654" s="91"/>
    </row>
    <row r="655">
      <c r="A655" s="80"/>
      <c r="F655" s="92"/>
      <c r="H655" s="93"/>
      <c r="M655" s="91"/>
    </row>
    <row r="656">
      <c r="A656" s="80"/>
      <c r="F656" s="92"/>
      <c r="H656" s="93"/>
      <c r="M656" s="91"/>
    </row>
    <row r="657">
      <c r="A657" s="80"/>
      <c r="F657" s="92"/>
      <c r="H657" s="93"/>
      <c r="M657" s="91"/>
    </row>
    <row r="658">
      <c r="A658" s="80"/>
      <c r="F658" s="92"/>
      <c r="H658" s="93"/>
      <c r="M658" s="91"/>
    </row>
    <row r="659">
      <c r="A659" s="80"/>
      <c r="F659" s="92"/>
      <c r="H659" s="93"/>
      <c r="M659" s="91"/>
    </row>
    <row r="660">
      <c r="A660" s="80"/>
      <c r="F660" s="92"/>
      <c r="H660" s="93"/>
      <c r="M660" s="91"/>
    </row>
    <row r="661">
      <c r="A661" s="80"/>
      <c r="F661" s="92"/>
      <c r="H661" s="93"/>
      <c r="M661" s="91"/>
    </row>
    <row r="662">
      <c r="A662" s="80"/>
      <c r="F662" s="92"/>
      <c r="H662" s="93"/>
      <c r="M662" s="91"/>
    </row>
    <row r="663">
      <c r="A663" s="80"/>
      <c r="F663" s="92"/>
      <c r="H663" s="93"/>
      <c r="M663" s="91"/>
    </row>
    <row r="664">
      <c r="A664" s="80"/>
      <c r="F664" s="92"/>
      <c r="H664" s="93"/>
      <c r="M664" s="91"/>
    </row>
    <row r="665">
      <c r="A665" s="80"/>
      <c r="F665" s="92"/>
      <c r="H665" s="93"/>
      <c r="M665" s="91"/>
    </row>
    <row r="666">
      <c r="A666" s="80"/>
      <c r="F666" s="92"/>
      <c r="H666" s="93"/>
      <c r="M666" s="91"/>
    </row>
    <row r="667">
      <c r="A667" s="80"/>
      <c r="F667" s="92"/>
      <c r="H667" s="93"/>
      <c r="M667" s="91"/>
    </row>
    <row r="668">
      <c r="A668" s="80"/>
      <c r="F668" s="92"/>
      <c r="H668" s="93"/>
      <c r="M668" s="91"/>
    </row>
    <row r="669">
      <c r="A669" s="80"/>
      <c r="F669" s="92"/>
      <c r="H669" s="93"/>
      <c r="M669" s="91"/>
    </row>
    <row r="670">
      <c r="A670" s="80"/>
      <c r="F670" s="92"/>
      <c r="H670" s="93"/>
      <c r="M670" s="91"/>
    </row>
    <row r="671">
      <c r="A671" s="80"/>
      <c r="F671" s="92"/>
      <c r="H671" s="93"/>
      <c r="M671" s="91"/>
    </row>
    <row r="672">
      <c r="A672" s="80"/>
      <c r="F672" s="92"/>
      <c r="H672" s="93"/>
      <c r="M672" s="91"/>
    </row>
    <row r="673">
      <c r="A673" s="80"/>
      <c r="F673" s="92"/>
      <c r="H673" s="93"/>
      <c r="M673" s="91"/>
    </row>
    <row r="674">
      <c r="A674" s="80"/>
      <c r="F674" s="92"/>
      <c r="H674" s="93"/>
      <c r="M674" s="91"/>
    </row>
    <row r="675">
      <c r="A675" s="80"/>
      <c r="F675" s="92"/>
      <c r="H675" s="93"/>
      <c r="M675" s="91"/>
    </row>
    <row r="676">
      <c r="A676" s="80"/>
      <c r="F676" s="92"/>
      <c r="H676" s="93"/>
      <c r="M676" s="91"/>
    </row>
    <row r="677">
      <c r="A677" s="80"/>
      <c r="F677" s="92"/>
      <c r="H677" s="93"/>
      <c r="M677" s="91"/>
    </row>
    <row r="678">
      <c r="A678" s="80"/>
      <c r="F678" s="92"/>
      <c r="H678" s="93"/>
      <c r="M678" s="91"/>
    </row>
    <row r="679">
      <c r="A679" s="80"/>
      <c r="F679" s="92"/>
      <c r="H679" s="93"/>
      <c r="M679" s="91"/>
    </row>
    <row r="680">
      <c r="A680" s="80"/>
      <c r="F680" s="92"/>
      <c r="H680" s="93"/>
      <c r="M680" s="91"/>
    </row>
    <row r="681">
      <c r="A681" s="80"/>
      <c r="F681" s="92"/>
      <c r="H681" s="93"/>
      <c r="M681" s="91"/>
    </row>
    <row r="682">
      <c r="A682" s="80"/>
      <c r="F682" s="92"/>
      <c r="H682" s="93"/>
      <c r="M682" s="91"/>
    </row>
    <row r="683">
      <c r="A683" s="80"/>
      <c r="F683" s="92"/>
      <c r="H683" s="93"/>
      <c r="M683" s="91"/>
    </row>
    <row r="684">
      <c r="A684" s="80"/>
      <c r="F684" s="92"/>
      <c r="H684" s="93"/>
      <c r="M684" s="91"/>
    </row>
    <row r="685">
      <c r="A685" s="80"/>
      <c r="F685" s="92"/>
      <c r="H685" s="93"/>
      <c r="M685" s="91"/>
    </row>
    <row r="686">
      <c r="A686" s="80"/>
      <c r="F686" s="92"/>
      <c r="H686" s="93"/>
      <c r="M686" s="91"/>
    </row>
    <row r="687">
      <c r="A687" s="80"/>
      <c r="F687" s="92"/>
      <c r="H687" s="93"/>
      <c r="M687" s="91"/>
    </row>
    <row r="688">
      <c r="A688" s="80"/>
      <c r="F688" s="92"/>
      <c r="H688" s="93"/>
      <c r="M688" s="91"/>
    </row>
    <row r="689">
      <c r="A689" s="80"/>
      <c r="F689" s="92"/>
      <c r="H689" s="93"/>
      <c r="M689" s="91"/>
    </row>
    <row r="690">
      <c r="A690" s="80"/>
      <c r="F690" s="92"/>
      <c r="H690" s="93"/>
      <c r="M690" s="91"/>
    </row>
    <row r="691">
      <c r="A691" s="80"/>
      <c r="F691" s="92"/>
      <c r="H691" s="93"/>
      <c r="M691" s="91"/>
    </row>
    <row r="692">
      <c r="A692" s="80"/>
      <c r="F692" s="92"/>
      <c r="H692" s="93"/>
      <c r="M692" s="91"/>
    </row>
    <row r="693">
      <c r="A693" s="80"/>
      <c r="F693" s="92"/>
      <c r="H693" s="93"/>
      <c r="M693" s="91"/>
    </row>
    <row r="694">
      <c r="A694" s="80"/>
      <c r="F694" s="92"/>
      <c r="H694" s="93"/>
      <c r="M694" s="91"/>
    </row>
    <row r="695">
      <c r="A695" s="80"/>
      <c r="F695" s="92"/>
      <c r="H695" s="93"/>
      <c r="M695" s="91"/>
    </row>
    <row r="696">
      <c r="A696" s="80"/>
      <c r="F696" s="92"/>
      <c r="H696" s="93"/>
      <c r="M696" s="91"/>
    </row>
    <row r="697">
      <c r="A697" s="80"/>
      <c r="F697" s="92"/>
      <c r="H697" s="93"/>
      <c r="M697" s="91"/>
    </row>
    <row r="698">
      <c r="A698" s="80"/>
      <c r="F698" s="92"/>
      <c r="H698" s="93"/>
      <c r="M698" s="91"/>
    </row>
    <row r="699">
      <c r="A699" s="80"/>
      <c r="F699" s="92"/>
      <c r="H699" s="93"/>
      <c r="M699" s="91"/>
    </row>
    <row r="700">
      <c r="A700" s="80"/>
      <c r="F700" s="92"/>
      <c r="H700" s="93"/>
      <c r="M700" s="91"/>
    </row>
    <row r="701">
      <c r="A701" s="80"/>
      <c r="F701" s="92"/>
      <c r="H701" s="93"/>
      <c r="M701" s="91"/>
    </row>
    <row r="702">
      <c r="A702" s="80"/>
      <c r="F702" s="92"/>
      <c r="H702" s="93"/>
      <c r="M702" s="91"/>
    </row>
    <row r="703">
      <c r="A703" s="80"/>
      <c r="F703" s="92"/>
      <c r="H703" s="93"/>
      <c r="M703" s="91"/>
    </row>
    <row r="704">
      <c r="A704" s="80"/>
      <c r="F704" s="92"/>
      <c r="H704" s="93"/>
      <c r="M704" s="91"/>
    </row>
    <row r="705">
      <c r="A705" s="80"/>
      <c r="F705" s="92"/>
      <c r="H705" s="93"/>
      <c r="M705" s="91"/>
    </row>
    <row r="706">
      <c r="A706" s="80"/>
      <c r="F706" s="92"/>
      <c r="H706" s="93"/>
      <c r="M706" s="91"/>
    </row>
    <row r="707">
      <c r="A707" s="80"/>
      <c r="F707" s="92"/>
      <c r="H707" s="93"/>
      <c r="M707" s="91"/>
    </row>
    <row r="708">
      <c r="A708" s="80"/>
      <c r="F708" s="92"/>
      <c r="H708" s="93"/>
      <c r="M708" s="91"/>
    </row>
    <row r="709">
      <c r="A709" s="80"/>
      <c r="F709" s="92"/>
      <c r="H709" s="93"/>
      <c r="M709" s="91"/>
    </row>
    <row r="710">
      <c r="A710" s="80"/>
      <c r="F710" s="92"/>
      <c r="H710" s="93"/>
      <c r="M710" s="91"/>
    </row>
    <row r="711">
      <c r="A711" s="80"/>
      <c r="F711" s="92"/>
      <c r="H711" s="93"/>
      <c r="M711" s="91"/>
    </row>
    <row r="712">
      <c r="A712" s="80"/>
      <c r="F712" s="92"/>
      <c r="H712" s="93"/>
      <c r="M712" s="91"/>
    </row>
    <row r="713">
      <c r="A713" s="80"/>
      <c r="F713" s="92"/>
      <c r="H713" s="93"/>
      <c r="M713" s="91"/>
    </row>
    <row r="714">
      <c r="A714" s="80"/>
      <c r="F714" s="92"/>
      <c r="H714" s="93"/>
      <c r="M714" s="91"/>
    </row>
    <row r="715">
      <c r="A715" s="80"/>
      <c r="F715" s="92"/>
      <c r="H715" s="93"/>
      <c r="M715" s="91"/>
    </row>
    <row r="716">
      <c r="A716" s="80"/>
      <c r="F716" s="92"/>
      <c r="H716" s="93"/>
      <c r="M716" s="91"/>
    </row>
    <row r="717">
      <c r="A717" s="80"/>
      <c r="F717" s="92"/>
      <c r="H717" s="93"/>
      <c r="M717" s="91"/>
    </row>
    <row r="718">
      <c r="A718" s="80"/>
      <c r="F718" s="92"/>
      <c r="H718" s="93"/>
      <c r="M718" s="91"/>
    </row>
    <row r="719">
      <c r="A719" s="80"/>
      <c r="F719" s="92"/>
      <c r="H719" s="93"/>
      <c r="M719" s="91"/>
    </row>
    <row r="720">
      <c r="A720" s="80"/>
      <c r="F720" s="92"/>
      <c r="H720" s="93"/>
      <c r="M720" s="91"/>
    </row>
    <row r="721">
      <c r="A721" s="80"/>
      <c r="F721" s="92"/>
      <c r="H721" s="93"/>
      <c r="M721" s="91"/>
    </row>
    <row r="722">
      <c r="A722" s="80"/>
      <c r="F722" s="92"/>
      <c r="H722" s="93"/>
      <c r="M722" s="91"/>
    </row>
    <row r="723">
      <c r="A723" s="80"/>
      <c r="F723" s="92"/>
      <c r="H723" s="93"/>
      <c r="M723" s="91"/>
    </row>
    <row r="724">
      <c r="A724" s="80"/>
      <c r="F724" s="92"/>
      <c r="H724" s="93"/>
      <c r="M724" s="91"/>
    </row>
    <row r="725">
      <c r="A725" s="80"/>
      <c r="F725" s="92"/>
      <c r="H725" s="93"/>
      <c r="M725" s="91"/>
    </row>
    <row r="726">
      <c r="A726" s="80"/>
      <c r="F726" s="92"/>
      <c r="H726" s="93"/>
      <c r="M726" s="91"/>
    </row>
    <row r="727">
      <c r="A727" s="80"/>
      <c r="F727" s="92"/>
      <c r="H727" s="93"/>
      <c r="M727" s="91"/>
    </row>
    <row r="728">
      <c r="A728" s="80"/>
      <c r="F728" s="92"/>
      <c r="H728" s="93"/>
      <c r="M728" s="91"/>
    </row>
    <row r="729">
      <c r="A729" s="80"/>
      <c r="F729" s="92"/>
      <c r="H729" s="93"/>
      <c r="M729" s="91"/>
    </row>
    <row r="730">
      <c r="A730" s="80"/>
      <c r="F730" s="92"/>
      <c r="H730" s="93"/>
      <c r="M730" s="91"/>
    </row>
    <row r="731">
      <c r="A731" s="80"/>
      <c r="F731" s="92"/>
      <c r="H731" s="93"/>
      <c r="M731" s="91"/>
    </row>
    <row r="732">
      <c r="A732" s="80"/>
      <c r="F732" s="92"/>
      <c r="H732" s="93"/>
      <c r="M732" s="91"/>
    </row>
    <row r="733">
      <c r="A733" s="80"/>
      <c r="F733" s="92"/>
      <c r="H733" s="93"/>
      <c r="M733" s="91"/>
    </row>
    <row r="734">
      <c r="A734" s="80"/>
      <c r="F734" s="92"/>
      <c r="H734" s="93"/>
      <c r="M734" s="91"/>
    </row>
    <row r="735">
      <c r="A735" s="80"/>
      <c r="F735" s="92"/>
      <c r="H735" s="93"/>
      <c r="M735" s="91"/>
    </row>
    <row r="736">
      <c r="A736" s="80"/>
      <c r="F736" s="92"/>
      <c r="H736" s="93"/>
      <c r="M736" s="91"/>
    </row>
    <row r="737">
      <c r="A737" s="80"/>
      <c r="F737" s="92"/>
      <c r="H737" s="93"/>
      <c r="M737" s="91"/>
    </row>
    <row r="738">
      <c r="A738" s="80"/>
      <c r="F738" s="92"/>
      <c r="H738" s="93"/>
      <c r="M738" s="91"/>
    </row>
    <row r="739">
      <c r="A739" s="80"/>
      <c r="F739" s="92"/>
      <c r="H739" s="93"/>
      <c r="M739" s="91"/>
    </row>
    <row r="740">
      <c r="A740" s="80"/>
      <c r="F740" s="92"/>
      <c r="H740" s="93"/>
      <c r="M740" s="91"/>
    </row>
    <row r="741">
      <c r="A741" s="80"/>
      <c r="F741" s="92"/>
      <c r="H741" s="93"/>
      <c r="M741" s="91"/>
    </row>
    <row r="742">
      <c r="A742" s="80"/>
      <c r="F742" s="92"/>
      <c r="H742" s="93"/>
      <c r="M742" s="91"/>
    </row>
    <row r="743">
      <c r="A743" s="80"/>
      <c r="F743" s="92"/>
      <c r="H743" s="93"/>
      <c r="M743" s="91"/>
    </row>
    <row r="744">
      <c r="A744" s="80"/>
      <c r="F744" s="92"/>
      <c r="H744" s="93"/>
      <c r="M744" s="91"/>
    </row>
    <row r="745">
      <c r="A745" s="80"/>
      <c r="F745" s="92"/>
      <c r="H745" s="93"/>
      <c r="M745" s="91"/>
    </row>
    <row r="746">
      <c r="A746" s="80"/>
      <c r="F746" s="92"/>
      <c r="H746" s="93"/>
      <c r="M746" s="91"/>
    </row>
    <row r="747">
      <c r="A747" s="80"/>
      <c r="F747" s="92"/>
      <c r="H747" s="93"/>
      <c r="M747" s="91"/>
    </row>
    <row r="748">
      <c r="A748" s="80"/>
      <c r="F748" s="92"/>
      <c r="H748" s="93"/>
      <c r="M748" s="91"/>
    </row>
    <row r="749">
      <c r="A749" s="80"/>
      <c r="F749" s="92"/>
      <c r="H749" s="93"/>
      <c r="M749" s="91"/>
    </row>
    <row r="750">
      <c r="A750" s="80"/>
      <c r="F750" s="92"/>
      <c r="H750" s="93"/>
      <c r="M750" s="91"/>
    </row>
    <row r="751">
      <c r="A751" s="80"/>
      <c r="F751" s="92"/>
      <c r="H751" s="93"/>
      <c r="M751" s="91"/>
    </row>
    <row r="752">
      <c r="A752" s="80"/>
      <c r="F752" s="92"/>
      <c r="H752" s="93"/>
      <c r="M752" s="91"/>
    </row>
    <row r="753">
      <c r="A753" s="80"/>
      <c r="F753" s="92"/>
      <c r="H753" s="93"/>
      <c r="M753" s="91"/>
    </row>
    <row r="754">
      <c r="A754" s="80"/>
      <c r="F754" s="92"/>
      <c r="H754" s="93"/>
      <c r="M754" s="91"/>
    </row>
    <row r="755">
      <c r="A755" s="80"/>
      <c r="F755" s="92"/>
      <c r="H755" s="93"/>
      <c r="M755" s="91"/>
    </row>
    <row r="756">
      <c r="A756" s="80"/>
      <c r="F756" s="92"/>
      <c r="H756" s="93"/>
      <c r="M756" s="91"/>
    </row>
    <row r="757">
      <c r="A757" s="80"/>
      <c r="F757" s="92"/>
      <c r="H757" s="93"/>
      <c r="M757" s="91"/>
    </row>
    <row r="758">
      <c r="A758" s="80"/>
      <c r="F758" s="92"/>
      <c r="H758" s="93"/>
      <c r="M758" s="91"/>
    </row>
    <row r="759">
      <c r="A759" s="80"/>
      <c r="F759" s="92"/>
      <c r="H759" s="93"/>
      <c r="M759" s="91"/>
    </row>
    <row r="760">
      <c r="A760" s="80"/>
      <c r="F760" s="92"/>
      <c r="H760" s="93"/>
      <c r="M760" s="91"/>
    </row>
    <row r="761">
      <c r="A761" s="80"/>
      <c r="F761" s="92"/>
      <c r="H761" s="93"/>
      <c r="M761" s="91"/>
    </row>
    <row r="762">
      <c r="A762" s="80"/>
      <c r="F762" s="92"/>
      <c r="H762" s="93"/>
      <c r="M762" s="91"/>
    </row>
    <row r="763">
      <c r="A763" s="80"/>
      <c r="F763" s="92"/>
      <c r="H763" s="93"/>
      <c r="M763" s="91"/>
    </row>
    <row r="764">
      <c r="A764" s="80"/>
      <c r="F764" s="92"/>
      <c r="H764" s="93"/>
      <c r="M764" s="91"/>
    </row>
    <row r="765">
      <c r="A765" s="80"/>
      <c r="F765" s="92"/>
      <c r="H765" s="93"/>
      <c r="M765" s="91"/>
    </row>
    <row r="766">
      <c r="A766" s="80"/>
      <c r="F766" s="92"/>
      <c r="H766" s="93"/>
      <c r="M766" s="91"/>
    </row>
    <row r="767">
      <c r="A767" s="80"/>
      <c r="F767" s="92"/>
      <c r="H767" s="93"/>
      <c r="M767" s="91"/>
    </row>
    <row r="768">
      <c r="A768" s="80"/>
      <c r="F768" s="92"/>
      <c r="H768" s="93"/>
      <c r="M768" s="91"/>
    </row>
    <row r="769">
      <c r="A769" s="80"/>
      <c r="F769" s="92"/>
      <c r="H769" s="93"/>
      <c r="M769" s="91"/>
    </row>
    <row r="770">
      <c r="A770" s="80"/>
      <c r="F770" s="92"/>
      <c r="H770" s="93"/>
      <c r="M770" s="91"/>
    </row>
    <row r="771">
      <c r="A771" s="80"/>
      <c r="F771" s="92"/>
      <c r="H771" s="93"/>
      <c r="M771" s="91"/>
    </row>
    <row r="772">
      <c r="A772" s="80"/>
      <c r="F772" s="92"/>
      <c r="H772" s="93"/>
      <c r="M772" s="91"/>
    </row>
    <row r="773">
      <c r="A773" s="80"/>
      <c r="F773" s="92"/>
      <c r="H773" s="93"/>
      <c r="M773" s="91"/>
    </row>
    <row r="774">
      <c r="A774" s="80"/>
      <c r="F774" s="92"/>
      <c r="H774" s="93"/>
      <c r="M774" s="91"/>
    </row>
    <row r="775">
      <c r="A775" s="80"/>
      <c r="F775" s="92"/>
      <c r="H775" s="93"/>
      <c r="M775" s="91"/>
    </row>
    <row r="776">
      <c r="A776" s="80"/>
      <c r="F776" s="92"/>
      <c r="H776" s="93"/>
      <c r="M776" s="91"/>
    </row>
    <row r="777">
      <c r="A777" s="80"/>
      <c r="F777" s="92"/>
      <c r="H777" s="93"/>
      <c r="M777" s="91"/>
    </row>
    <row r="778">
      <c r="A778" s="80"/>
      <c r="F778" s="92"/>
      <c r="H778" s="93"/>
      <c r="M778" s="91"/>
    </row>
    <row r="779">
      <c r="A779" s="80"/>
      <c r="F779" s="92"/>
      <c r="H779" s="93"/>
      <c r="M779" s="91"/>
    </row>
    <row r="780">
      <c r="A780" s="80"/>
      <c r="F780" s="92"/>
      <c r="H780" s="93"/>
      <c r="M780" s="91"/>
    </row>
    <row r="781">
      <c r="A781" s="80"/>
      <c r="F781" s="92"/>
      <c r="H781" s="93"/>
      <c r="M781" s="91"/>
    </row>
    <row r="782">
      <c r="A782" s="80"/>
      <c r="F782" s="92"/>
      <c r="H782" s="93"/>
      <c r="M782" s="91"/>
    </row>
    <row r="783">
      <c r="A783" s="80"/>
      <c r="F783" s="92"/>
      <c r="H783" s="93"/>
      <c r="M783" s="91"/>
    </row>
    <row r="784">
      <c r="A784" s="80"/>
      <c r="F784" s="92"/>
      <c r="H784" s="93"/>
      <c r="M784" s="91"/>
    </row>
    <row r="785">
      <c r="A785" s="80"/>
      <c r="F785" s="92"/>
      <c r="H785" s="93"/>
      <c r="M785" s="91"/>
    </row>
    <row r="786">
      <c r="A786" s="80"/>
      <c r="F786" s="92"/>
      <c r="H786" s="93"/>
      <c r="M786" s="91"/>
    </row>
    <row r="787">
      <c r="A787" s="80"/>
      <c r="F787" s="92"/>
      <c r="H787" s="93"/>
      <c r="M787" s="91"/>
    </row>
    <row r="788">
      <c r="A788" s="80"/>
      <c r="F788" s="92"/>
      <c r="H788" s="93"/>
      <c r="M788" s="91"/>
    </row>
    <row r="789">
      <c r="A789" s="80"/>
      <c r="F789" s="92"/>
      <c r="H789" s="93"/>
      <c r="M789" s="91"/>
    </row>
    <row r="790">
      <c r="A790" s="80"/>
      <c r="F790" s="92"/>
      <c r="H790" s="93"/>
      <c r="M790" s="91"/>
    </row>
    <row r="791">
      <c r="A791" s="80"/>
      <c r="F791" s="92"/>
      <c r="H791" s="93"/>
      <c r="M791" s="91"/>
    </row>
    <row r="792">
      <c r="A792" s="80"/>
      <c r="F792" s="92"/>
      <c r="H792" s="93"/>
      <c r="M792" s="91"/>
    </row>
    <row r="793">
      <c r="A793" s="80"/>
      <c r="F793" s="92"/>
      <c r="H793" s="93"/>
      <c r="M793" s="91"/>
    </row>
    <row r="794">
      <c r="A794" s="80"/>
      <c r="F794" s="92"/>
      <c r="H794" s="93"/>
      <c r="M794" s="91"/>
    </row>
    <row r="795">
      <c r="A795" s="80"/>
      <c r="F795" s="92"/>
      <c r="H795" s="93"/>
      <c r="M795" s="91"/>
    </row>
    <row r="796">
      <c r="A796" s="80"/>
      <c r="F796" s="92"/>
      <c r="H796" s="93"/>
      <c r="M796" s="91"/>
    </row>
    <row r="797">
      <c r="A797" s="80"/>
      <c r="F797" s="92"/>
      <c r="H797" s="93"/>
      <c r="M797" s="91"/>
    </row>
    <row r="798">
      <c r="A798" s="80"/>
      <c r="F798" s="92"/>
      <c r="H798" s="93"/>
      <c r="M798" s="91"/>
    </row>
    <row r="799">
      <c r="A799" s="80"/>
      <c r="F799" s="92"/>
      <c r="H799" s="93"/>
      <c r="M799" s="91"/>
    </row>
    <row r="800">
      <c r="A800" s="80"/>
      <c r="F800" s="92"/>
      <c r="H800" s="93"/>
      <c r="M800" s="91"/>
    </row>
    <row r="801">
      <c r="A801" s="80"/>
      <c r="F801" s="92"/>
      <c r="H801" s="93"/>
      <c r="M801" s="91"/>
    </row>
    <row r="802">
      <c r="A802" s="80"/>
      <c r="F802" s="92"/>
      <c r="H802" s="93"/>
      <c r="M802" s="91"/>
    </row>
    <row r="803">
      <c r="A803" s="80"/>
      <c r="F803" s="92"/>
      <c r="H803" s="93"/>
      <c r="M803" s="91"/>
    </row>
    <row r="804">
      <c r="A804" s="80"/>
      <c r="F804" s="92"/>
      <c r="H804" s="93"/>
      <c r="M804" s="91"/>
    </row>
    <row r="805">
      <c r="A805" s="80"/>
      <c r="F805" s="92"/>
      <c r="H805" s="93"/>
      <c r="M805" s="91"/>
    </row>
    <row r="806">
      <c r="A806" s="80"/>
      <c r="F806" s="92"/>
      <c r="H806" s="93"/>
      <c r="M806" s="91"/>
    </row>
    <row r="807">
      <c r="A807" s="80"/>
      <c r="F807" s="92"/>
      <c r="H807" s="93"/>
      <c r="M807" s="91"/>
    </row>
    <row r="808">
      <c r="A808" s="80"/>
      <c r="F808" s="92"/>
      <c r="H808" s="93"/>
      <c r="M808" s="91"/>
    </row>
    <row r="809">
      <c r="A809" s="80"/>
      <c r="F809" s="92"/>
      <c r="H809" s="93"/>
      <c r="M809" s="91"/>
    </row>
    <row r="810">
      <c r="A810" s="80"/>
      <c r="F810" s="92"/>
      <c r="H810" s="93"/>
      <c r="M810" s="91"/>
    </row>
    <row r="811">
      <c r="A811" s="80"/>
      <c r="F811" s="92"/>
      <c r="H811" s="93"/>
      <c r="M811" s="91"/>
    </row>
    <row r="812">
      <c r="A812" s="80"/>
      <c r="F812" s="92"/>
      <c r="H812" s="93"/>
      <c r="M812" s="91"/>
    </row>
    <row r="813">
      <c r="A813" s="80"/>
      <c r="F813" s="92"/>
      <c r="H813" s="93"/>
      <c r="M813" s="91"/>
    </row>
    <row r="814">
      <c r="A814" s="80"/>
      <c r="F814" s="92"/>
      <c r="H814" s="93"/>
      <c r="M814" s="91"/>
    </row>
    <row r="815">
      <c r="A815" s="80"/>
      <c r="F815" s="92"/>
      <c r="H815" s="93"/>
      <c r="M815" s="91"/>
    </row>
    <row r="816">
      <c r="A816" s="80"/>
      <c r="F816" s="92"/>
      <c r="H816" s="93"/>
      <c r="M816" s="91"/>
    </row>
    <row r="817">
      <c r="A817" s="80"/>
      <c r="F817" s="92"/>
      <c r="H817" s="93"/>
      <c r="M817" s="91"/>
    </row>
    <row r="818">
      <c r="A818" s="80"/>
      <c r="F818" s="92"/>
      <c r="H818" s="93"/>
      <c r="M818" s="91"/>
    </row>
    <row r="819">
      <c r="A819" s="80"/>
      <c r="F819" s="92"/>
      <c r="H819" s="93"/>
      <c r="M819" s="91"/>
    </row>
    <row r="820">
      <c r="A820" s="80"/>
      <c r="F820" s="92"/>
      <c r="H820" s="93"/>
      <c r="M820" s="91"/>
    </row>
    <row r="821">
      <c r="A821" s="80"/>
      <c r="F821" s="92"/>
      <c r="H821" s="93"/>
      <c r="M821" s="91"/>
    </row>
    <row r="822">
      <c r="A822" s="80"/>
      <c r="F822" s="92"/>
      <c r="H822" s="93"/>
      <c r="M822" s="91"/>
    </row>
    <row r="823">
      <c r="A823" s="80"/>
      <c r="F823" s="92"/>
      <c r="H823" s="93"/>
      <c r="M823" s="91"/>
    </row>
    <row r="824">
      <c r="A824" s="80"/>
      <c r="F824" s="92"/>
      <c r="H824" s="93"/>
      <c r="M824" s="91"/>
    </row>
    <row r="825">
      <c r="A825" s="80"/>
      <c r="F825" s="92"/>
      <c r="H825" s="93"/>
      <c r="M825" s="91"/>
    </row>
    <row r="826">
      <c r="A826" s="80"/>
      <c r="F826" s="92"/>
      <c r="H826" s="93"/>
      <c r="M826" s="91"/>
    </row>
    <row r="827">
      <c r="A827" s="80"/>
      <c r="F827" s="92"/>
      <c r="H827" s="93"/>
      <c r="M827" s="91"/>
    </row>
    <row r="828">
      <c r="A828" s="80"/>
      <c r="F828" s="92"/>
      <c r="H828" s="93"/>
      <c r="M828" s="91"/>
    </row>
    <row r="829">
      <c r="A829" s="80"/>
      <c r="F829" s="92"/>
      <c r="H829" s="93"/>
      <c r="M829" s="91"/>
    </row>
    <row r="830">
      <c r="A830" s="80"/>
      <c r="F830" s="92"/>
      <c r="H830" s="93"/>
      <c r="M830" s="91"/>
    </row>
    <row r="831">
      <c r="A831" s="80"/>
      <c r="F831" s="92"/>
      <c r="H831" s="93"/>
      <c r="M831" s="91"/>
    </row>
    <row r="832">
      <c r="A832" s="80"/>
      <c r="F832" s="92"/>
      <c r="H832" s="93"/>
      <c r="M832" s="91"/>
    </row>
    <row r="833">
      <c r="A833" s="80"/>
      <c r="F833" s="92"/>
      <c r="H833" s="93"/>
      <c r="M833" s="91"/>
    </row>
    <row r="834">
      <c r="A834" s="80"/>
      <c r="F834" s="92"/>
      <c r="H834" s="93"/>
      <c r="M834" s="91"/>
    </row>
    <row r="835">
      <c r="A835" s="80"/>
      <c r="F835" s="92"/>
      <c r="H835" s="93"/>
      <c r="M835" s="91"/>
    </row>
    <row r="836">
      <c r="A836" s="80"/>
      <c r="F836" s="92"/>
      <c r="H836" s="93"/>
      <c r="M836" s="91"/>
    </row>
    <row r="837">
      <c r="A837" s="80"/>
      <c r="F837" s="92"/>
      <c r="H837" s="93"/>
      <c r="M837" s="91"/>
    </row>
    <row r="838">
      <c r="A838" s="80"/>
      <c r="F838" s="92"/>
      <c r="H838" s="93"/>
      <c r="M838" s="91"/>
    </row>
    <row r="839">
      <c r="A839" s="80"/>
      <c r="F839" s="92"/>
      <c r="H839" s="93"/>
      <c r="M839" s="91"/>
    </row>
    <row r="840">
      <c r="A840" s="80"/>
      <c r="F840" s="92"/>
      <c r="H840" s="93"/>
      <c r="M840" s="91"/>
    </row>
    <row r="841">
      <c r="A841" s="80"/>
      <c r="F841" s="92"/>
      <c r="H841" s="93"/>
      <c r="M841" s="91"/>
    </row>
    <row r="842">
      <c r="A842" s="80"/>
      <c r="F842" s="92"/>
      <c r="H842" s="93"/>
      <c r="M842" s="91"/>
    </row>
    <row r="843">
      <c r="A843" s="80"/>
      <c r="F843" s="92"/>
      <c r="H843" s="93"/>
      <c r="M843" s="91"/>
    </row>
    <row r="844">
      <c r="A844" s="80"/>
      <c r="F844" s="92"/>
      <c r="H844" s="93"/>
      <c r="M844" s="91"/>
    </row>
    <row r="845">
      <c r="A845" s="80"/>
      <c r="F845" s="92"/>
      <c r="H845" s="93"/>
      <c r="M845" s="91"/>
    </row>
    <row r="846">
      <c r="A846" s="80"/>
      <c r="F846" s="92"/>
      <c r="H846" s="93"/>
      <c r="M846" s="91"/>
    </row>
    <row r="847">
      <c r="A847" s="80"/>
      <c r="F847" s="92"/>
      <c r="H847" s="93"/>
      <c r="M847" s="91"/>
    </row>
    <row r="848">
      <c r="A848" s="80"/>
      <c r="F848" s="92"/>
      <c r="H848" s="93"/>
      <c r="M848" s="91"/>
    </row>
    <row r="849">
      <c r="A849" s="80"/>
      <c r="F849" s="92"/>
      <c r="H849" s="93"/>
      <c r="M849" s="91"/>
    </row>
    <row r="850">
      <c r="A850" s="80"/>
      <c r="F850" s="92"/>
      <c r="H850" s="93"/>
      <c r="M850" s="91"/>
    </row>
    <row r="851">
      <c r="A851" s="80"/>
      <c r="F851" s="92"/>
      <c r="H851" s="93"/>
      <c r="M851" s="91"/>
    </row>
    <row r="852">
      <c r="A852" s="80"/>
      <c r="F852" s="92"/>
      <c r="H852" s="93"/>
      <c r="M852" s="91"/>
    </row>
    <row r="853">
      <c r="A853" s="80"/>
      <c r="F853" s="92"/>
      <c r="H853" s="93"/>
      <c r="M853" s="91"/>
    </row>
    <row r="854">
      <c r="A854" s="80"/>
      <c r="F854" s="92"/>
      <c r="H854" s="93"/>
      <c r="M854" s="91"/>
    </row>
    <row r="855">
      <c r="A855" s="80"/>
      <c r="F855" s="92"/>
      <c r="H855" s="93"/>
      <c r="M855" s="91"/>
    </row>
    <row r="856">
      <c r="A856" s="80"/>
      <c r="F856" s="92"/>
      <c r="H856" s="93"/>
      <c r="M856" s="91"/>
    </row>
    <row r="857">
      <c r="A857" s="80"/>
      <c r="F857" s="92"/>
      <c r="H857" s="93"/>
      <c r="M857" s="91"/>
    </row>
    <row r="858">
      <c r="A858" s="80"/>
      <c r="F858" s="92"/>
      <c r="H858" s="93"/>
      <c r="M858" s="91"/>
    </row>
    <row r="859">
      <c r="A859" s="80"/>
      <c r="F859" s="92"/>
      <c r="H859" s="93"/>
      <c r="M859" s="91"/>
    </row>
    <row r="860">
      <c r="A860" s="80"/>
      <c r="F860" s="92"/>
      <c r="H860" s="93"/>
      <c r="M860" s="91"/>
    </row>
    <row r="861">
      <c r="A861" s="80"/>
      <c r="F861" s="92"/>
      <c r="H861" s="93"/>
      <c r="M861" s="91"/>
    </row>
    <row r="862">
      <c r="A862" s="80"/>
      <c r="F862" s="92"/>
      <c r="H862" s="93"/>
      <c r="M862" s="91"/>
    </row>
    <row r="863">
      <c r="A863" s="80"/>
      <c r="F863" s="92"/>
      <c r="H863" s="93"/>
      <c r="M863" s="91"/>
    </row>
    <row r="864">
      <c r="A864" s="80"/>
      <c r="F864" s="92"/>
      <c r="H864" s="93"/>
      <c r="M864" s="91"/>
    </row>
    <row r="865">
      <c r="A865" s="80"/>
      <c r="F865" s="92"/>
      <c r="H865" s="93"/>
      <c r="M865" s="91"/>
    </row>
    <row r="866">
      <c r="A866" s="80"/>
      <c r="F866" s="92"/>
      <c r="H866" s="93"/>
      <c r="M866" s="91"/>
    </row>
    <row r="867">
      <c r="A867" s="80"/>
      <c r="F867" s="92"/>
      <c r="H867" s="93"/>
      <c r="M867" s="91"/>
    </row>
    <row r="868">
      <c r="A868" s="80"/>
      <c r="F868" s="92"/>
      <c r="H868" s="93"/>
      <c r="M868" s="91"/>
    </row>
    <row r="869">
      <c r="A869" s="80"/>
      <c r="F869" s="92"/>
      <c r="H869" s="93"/>
      <c r="M869" s="91"/>
    </row>
    <row r="870">
      <c r="A870" s="80"/>
      <c r="F870" s="92"/>
      <c r="H870" s="93"/>
      <c r="M870" s="91"/>
    </row>
    <row r="871">
      <c r="A871" s="80"/>
      <c r="F871" s="92"/>
      <c r="H871" s="93"/>
      <c r="M871" s="91"/>
    </row>
    <row r="872">
      <c r="A872" s="80"/>
      <c r="F872" s="92"/>
      <c r="H872" s="93"/>
      <c r="M872" s="91"/>
    </row>
    <row r="873">
      <c r="A873" s="80"/>
      <c r="F873" s="92"/>
      <c r="H873" s="93"/>
      <c r="M873" s="91"/>
    </row>
    <row r="874">
      <c r="A874" s="80"/>
      <c r="F874" s="92"/>
      <c r="H874" s="93"/>
      <c r="M874" s="91"/>
    </row>
    <row r="875">
      <c r="A875" s="80"/>
      <c r="F875" s="92"/>
      <c r="H875" s="93"/>
      <c r="M875" s="91"/>
    </row>
    <row r="876">
      <c r="A876" s="80"/>
      <c r="F876" s="92"/>
      <c r="H876" s="93"/>
      <c r="M876" s="91"/>
    </row>
    <row r="877">
      <c r="A877" s="80"/>
      <c r="F877" s="92"/>
      <c r="H877" s="93"/>
      <c r="M877" s="91"/>
    </row>
    <row r="878">
      <c r="A878" s="80"/>
      <c r="F878" s="92"/>
      <c r="H878" s="93"/>
      <c r="M878" s="91"/>
    </row>
    <row r="879">
      <c r="A879" s="80"/>
      <c r="F879" s="92"/>
      <c r="H879" s="93"/>
      <c r="M879" s="91"/>
    </row>
    <row r="880">
      <c r="A880" s="80"/>
      <c r="F880" s="92"/>
      <c r="H880" s="93"/>
      <c r="M880" s="91"/>
    </row>
    <row r="881">
      <c r="A881" s="80"/>
      <c r="F881" s="92"/>
      <c r="H881" s="93"/>
      <c r="M881" s="91"/>
    </row>
    <row r="882">
      <c r="A882" s="80"/>
      <c r="F882" s="92"/>
      <c r="H882" s="93"/>
      <c r="M882" s="91"/>
    </row>
    <row r="883">
      <c r="A883" s="80"/>
      <c r="F883" s="92"/>
      <c r="H883" s="93"/>
      <c r="M883" s="91"/>
    </row>
    <row r="884">
      <c r="A884" s="80"/>
      <c r="F884" s="92"/>
      <c r="H884" s="93"/>
      <c r="M884" s="91"/>
    </row>
    <row r="885">
      <c r="A885" s="80"/>
      <c r="F885" s="92"/>
      <c r="H885" s="93"/>
      <c r="M885" s="91"/>
    </row>
    <row r="886">
      <c r="A886" s="80"/>
      <c r="F886" s="92"/>
      <c r="H886" s="93"/>
      <c r="M886" s="91"/>
    </row>
    <row r="887">
      <c r="A887" s="80"/>
      <c r="F887" s="92"/>
      <c r="H887" s="93"/>
      <c r="M887" s="91"/>
    </row>
    <row r="888">
      <c r="A888" s="80"/>
      <c r="F888" s="92"/>
      <c r="H888" s="93"/>
      <c r="M888" s="91"/>
    </row>
    <row r="889">
      <c r="A889" s="80"/>
      <c r="F889" s="92"/>
      <c r="H889" s="93"/>
      <c r="M889" s="91"/>
    </row>
    <row r="890">
      <c r="A890" s="80"/>
      <c r="F890" s="92"/>
      <c r="H890" s="93"/>
      <c r="M890" s="91"/>
    </row>
    <row r="891">
      <c r="A891" s="80"/>
      <c r="F891" s="92"/>
      <c r="H891" s="93"/>
      <c r="M891" s="91"/>
    </row>
    <row r="892">
      <c r="A892" s="80"/>
      <c r="F892" s="92"/>
      <c r="H892" s="93"/>
      <c r="M892" s="91"/>
    </row>
    <row r="893">
      <c r="A893" s="80"/>
      <c r="F893" s="92"/>
      <c r="H893" s="93"/>
      <c r="M893" s="91"/>
    </row>
    <row r="894">
      <c r="A894" s="80"/>
      <c r="F894" s="92"/>
      <c r="H894" s="93"/>
      <c r="M894" s="91"/>
    </row>
    <row r="895">
      <c r="A895" s="80"/>
      <c r="F895" s="92"/>
      <c r="H895" s="93"/>
      <c r="M895" s="91"/>
    </row>
    <row r="896">
      <c r="A896" s="80"/>
      <c r="F896" s="92"/>
      <c r="H896" s="93"/>
      <c r="M896" s="91"/>
    </row>
    <row r="897">
      <c r="A897" s="80"/>
      <c r="F897" s="92"/>
      <c r="H897" s="93"/>
      <c r="M897" s="91"/>
    </row>
    <row r="898">
      <c r="A898" s="80"/>
      <c r="F898" s="92"/>
      <c r="H898" s="93"/>
      <c r="M898" s="91"/>
    </row>
    <row r="899">
      <c r="A899" s="80"/>
      <c r="F899" s="92"/>
      <c r="H899" s="93"/>
      <c r="M899" s="91"/>
    </row>
    <row r="900">
      <c r="A900" s="80"/>
      <c r="F900" s="92"/>
      <c r="H900" s="93"/>
      <c r="M900" s="91"/>
    </row>
    <row r="901">
      <c r="A901" s="80"/>
      <c r="F901" s="92"/>
      <c r="H901" s="93"/>
      <c r="M901" s="91"/>
    </row>
    <row r="902">
      <c r="A902" s="80"/>
      <c r="F902" s="92"/>
      <c r="H902" s="93"/>
      <c r="M902" s="91"/>
    </row>
    <row r="903">
      <c r="A903" s="80"/>
      <c r="F903" s="92"/>
      <c r="H903" s="93"/>
      <c r="M903" s="91"/>
    </row>
    <row r="904">
      <c r="A904" s="80"/>
      <c r="F904" s="92"/>
      <c r="H904" s="93"/>
      <c r="M904" s="91"/>
    </row>
    <row r="905">
      <c r="A905" s="80"/>
      <c r="F905" s="92"/>
      <c r="H905" s="93"/>
      <c r="M905" s="91"/>
    </row>
    <row r="906">
      <c r="A906" s="80"/>
      <c r="F906" s="92"/>
      <c r="H906" s="93"/>
      <c r="M906" s="91"/>
    </row>
    <row r="907">
      <c r="A907" s="80"/>
      <c r="F907" s="92"/>
      <c r="H907" s="93"/>
      <c r="M907" s="91"/>
    </row>
    <row r="908">
      <c r="A908" s="80"/>
      <c r="F908" s="92"/>
      <c r="H908" s="93"/>
      <c r="M908" s="91"/>
    </row>
    <row r="909">
      <c r="A909" s="80"/>
      <c r="F909" s="92"/>
      <c r="H909" s="93"/>
      <c r="M909" s="91"/>
    </row>
    <row r="910">
      <c r="A910" s="80"/>
      <c r="F910" s="92"/>
      <c r="H910" s="93"/>
      <c r="M910" s="91"/>
    </row>
    <row r="911">
      <c r="A911" s="80"/>
      <c r="F911" s="92"/>
      <c r="H911" s="93"/>
      <c r="M911" s="91"/>
    </row>
    <row r="912">
      <c r="A912" s="80"/>
      <c r="F912" s="92"/>
      <c r="H912" s="93"/>
      <c r="M912" s="91"/>
    </row>
    <row r="913">
      <c r="A913" s="80"/>
      <c r="F913" s="92"/>
      <c r="H913" s="93"/>
      <c r="M913" s="91"/>
    </row>
    <row r="914">
      <c r="A914" s="80"/>
      <c r="F914" s="92"/>
      <c r="H914" s="93"/>
      <c r="M914" s="91"/>
    </row>
    <row r="915">
      <c r="A915" s="80"/>
      <c r="F915" s="92"/>
      <c r="H915" s="93"/>
      <c r="M915" s="91"/>
    </row>
    <row r="916">
      <c r="A916" s="80"/>
      <c r="F916" s="92"/>
      <c r="H916" s="93"/>
      <c r="M916" s="91"/>
    </row>
    <row r="917">
      <c r="A917" s="80"/>
      <c r="F917" s="92"/>
      <c r="H917" s="93"/>
      <c r="M917" s="91"/>
    </row>
    <row r="918">
      <c r="A918" s="80"/>
      <c r="F918" s="92"/>
      <c r="H918" s="93"/>
      <c r="M918" s="91"/>
    </row>
    <row r="919">
      <c r="A919" s="80"/>
      <c r="F919" s="92"/>
      <c r="H919" s="93"/>
      <c r="M919" s="91"/>
    </row>
    <row r="920">
      <c r="A920" s="80"/>
      <c r="F920" s="92"/>
      <c r="H920" s="93"/>
      <c r="M920" s="91"/>
    </row>
    <row r="921">
      <c r="A921" s="80"/>
      <c r="F921" s="92"/>
      <c r="H921" s="93"/>
      <c r="M921" s="91"/>
    </row>
    <row r="922">
      <c r="A922" s="80"/>
      <c r="F922" s="92"/>
      <c r="H922" s="93"/>
      <c r="M922" s="91"/>
    </row>
    <row r="923">
      <c r="A923" s="80"/>
      <c r="F923" s="92"/>
      <c r="H923" s="93"/>
      <c r="M923" s="91"/>
    </row>
    <row r="924">
      <c r="A924" s="80"/>
      <c r="F924" s="92"/>
      <c r="H924" s="93"/>
      <c r="M924" s="91"/>
    </row>
    <row r="925">
      <c r="A925" s="80"/>
      <c r="F925" s="92"/>
      <c r="H925" s="93"/>
      <c r="M925" s="91"/>
    </row>
    <row r="926">
      <c r="A926" s="80"/>
      <c r="F926" s="92"/>
      <c r="H926" s="93"/>
      <c r="M926" s="91"/>
    </row>
    <row r="927">
      <c r="A927" s="80"/>
      <c r="F927" s="92"/>
      <c r="H927" s="93"/>
      <c r="M927" s="91"/>
    </row>
    <row r="928">
      <c r="A928" s="80"/>
      <c r="F928" s="92"/>
      <c r="H928" s="93"/>
      <c r="M928" s="91"/>
    </row>
    <row r="929">
      <c r="A929" s="80"/>
      <c r="F929" s="92"/>
      <c r="H929" s="93"/>
      <c r="M929" s="91"/>
    </row>
    <row r="930">
      <c r="A930" s="80"/>
      <c r="F930" s="92"/>
      <c r="H930" s="93"/>
      <c r="M930" s="91"/>
    </row>
    <row r="931">
      <c r="A931" s="80"/>
      <c r="F931" s="92"/>
      <c r="H931" s="93"/>
      <c r="M931" s="91"/>
    </row>
    <row r="932">
      <c r="A932" s="80"/>
      <c r="F932" s="92"/>
      <c r="H932" s="93"/>
      <c r="M932" s="91"/>
    </row>
    <row r="933">
      <c r="A933" s="80"/>
      <c r="F933" s="92"/>
      <c r="H933" s="93"/>
      <c r="M933" s="91"/>
    </row>
    <row r="934">
      <c r="A934" s="80"/>
      <c r="F934" s="92"/>
      <c r="H934" s="93"/>
      <c r="M934" s="91"/>
    </row>
    <row r="935">
      <c r="A935" s="80"/>
      <c r="F935" s="92"/>
      <c r="H935" s="93"/>
      <c r="M935" s="91"/>
    </row>
    <row r="936">
      <c r="A936" s="80"/>
      <c r="F936" s="92"/>
      <c r="H936" s="93"/>
      <c r="M936" s="91"/>
    </row>
    <row r="937">
      <c r="A937" s="80"/>
      <c r="F937" s="92"/>
      <c r="H937" s="93"/>
      <c r="M937" s="91"/>
    </row>
    <row r="938">
      <c r="A938" s="80"/>
      <c r="F938" s="92"/>
      <c r="H938" s="93"/>
      <c r="M938" s="91"/>
    </row>
    <row r="939">
      <c r="A939" s="80"/>
      <c r="F939" s="92"/>
      <c r="H939" s="93"/>
      <c r="M939" s="91"/>
    </row>
    <row r="940">
      <c r="A940" s="80"/>
      <c r="F940" s="92"/>
      <c r="H940" s="93"/>
      <c r="M940" s="91"/>
    </row>
    <row r="941">
      <c r="A941" s="80"/>
      <c r="F941" s="92"/>
      <c r="H941" s="93"/>
      <c r="M941" s="91"/>
    </row>
    <row r="942">
      <c r="A942" s="80"/>
      <c r="F942" s="92"/>
      <c r="H942" s="93"/>
      <c r="M942" s="91"/>
    </row>
    <row r="943">
      <c r="A943" s="80"/>
      <c r="F943" s="92"/>
      <c r="H943" s="93"/>
      <c r="M943" s="91"/>
    </row>
    <row r="944">
      <c r="A944" s="80"/>
      <c r="F944" s="92"/>
      <c r="H944" s="93"/>
      <c r="M944" s="91"/>
    </row>
    <row r="945">
      <c r="A945" s="80"/>
      <c r="F945" s="92"/>
      <c r="H945" s="93"/>
      <c r="M945" s="91"/>
    </row>
    <row r="946">
      <c r="A946" s="80"/>
      <c r="F946" s="92"/>
      <c r="H946" s="93"/>
      <c r="M946" s="91"/>
    </row>
    <row r="947">
      <c r="A947" s="80"/>
      <c r="F947" s="92"/>
      <c r="H947" s="93"/>
      <c r="M947" s="91"/>
    </row>
    <row r="948">
      <c r="A948" s="80"/>
      <c r="F948" s="92"/>
      <c r="H948" s="93"/>
      <c r="M948" s="91"/>
    </row>
    <row r="949">
      <c r="A949" s="80"/>
      <c r="F949" s="92"/>
      <c r="H949" s="93"/>
      <c r="M949" s="91"/>
    </row>
    <row r="950">
      <c r="A950" s="80"/>
      <c r="F950" s="92"/>
      <c r="H950" s="93"/>
      <c r="M950" s="91"/>
    </row>
    <row r="951">
      <c r="A951" s="80"/>
      <c r="F951" s="92"/>
      <c r="H951" s="93"/>
      <c r="M951" s="91"/>
    </row>
    <row r="952">
      <c r="A952" s="80"/>
      <c r="F952" s="92"/>
      <c r="H952" s="93"/>
      <c r="M952" s="91"/>
    </row>
    <row r="953">
      <c r="A953" s="80"/>
      <c r="F953" s="92"/>
      <c r="H953" s="93"/>
      <c r="M953" s="91"/>
    </row>
    <row r="954">
      <c r="A954" s="80"/>
      <c r="F954" s="92"/>
      <c r="H954" s="93"/>
      <c r="M954" s="91"/>
    </row>
    <row r="955">
      <c r="A955" s="80"/>
      <c r="F955" s="92"/>
      <c r="H955" s="93"/>
      <c r="M955" s="91"/>
    </row>
    <row r="956">
      <c r="A956" s="80"/>
      <c r="F956" s="92"/>
      <c r="H956" s="93"/>
      <c r="M956" s="91"/>
    </row>
    <row r="957">
      <c r="A957" s="80"/>
      <c r="F957" s="92"/>
      <c r="H957" s="93"/>
      <c r="M957" s="91"/>
    </row>
    <row r="958">
      <c r="A958" s="80"/>
      <c r="F958" s="92"/>
      <c r="H958" s="93"/>
      <c r="M958" s="91"/>
    </row>
    <row r="959">
      <c r="A959" s="80"/>
      <c r="F959" s="92"/>
      <c r="H959" s="93"/>
      <c r="M959" s="91"/>
    </row>
    <row r="960">
      <c r="A960" s="80"/>
      <c r="F960" s="92"/>
      <c r="H960" s="93"/>
      <c r="M960" s="91"/>
    </row>
    <row r="961">
      <c r="A961" s="80"/>
      <c r="F961" s="92"/>
      <c r="H961" s="93"/>
      <c r="M961" s="91"/>
    </row>
    <row r="962">
      <c r="A962" s="80"/>
      <c r="F962" s="92"/>
      <c r="H962" s="93"/>
      <c r="M962" s="91"/>
    </row>
    <row r="963">
      <c r="A963" s="80"/>
      <c r="F963" s="92"/>
      <c r="H963" s="93"/>
      <c r="M963" s="91"/>
    </row>
    <row r="964">
      <c r="A964" s="80"/>
      <c r="F964" s="92"/>
      <c r="H964" s="93"/>
      <c r="M964" s="91"/>
    </row>
    <row r="965">
      <c r="A965" s="80"/>
      <c r="F965" s="92"/>
      <c r="H965" s="93"/>
      <c r="M965" s="91"/>
    </row>
    <row r="966">
      <c r="A966" s="80"/>
      <c r="F966" s="92"/>
      <c r="H966" s="93"/>
      <c r="M966" s="91"/>
    </row>
    <row r="967">
      <c r="A967" s="80"/>
      <c r="F967" s="92"/>
      <c r="H967" s="93"/>
      <c r="M967" s="91"/>
    </row>
    <row r="968">
      <c r="A968" s="80"/>
      <c r="F968" s="92"/>
      <c r="H968" s="93"/>
      <c r="M968" s="91"/>
    </row>
    <row r="969">
      <c r="A969" s="80"/>
      <c r="F969" s="92"/>
      <c r="H969" s="93"/>
      <c r="M969" s="91"/>
    </row>
    <row r="970">
      <c r="A970" s="80"/>
      <c r="F970" s="92"/>
      <c r="H970" s="93"/>
      <c r="M970" s="91"/>
    </row>
    <row r="971">
      <c r="A971" s="80"/>
      <c r="F971" s="92"/>
      <c r="H971" s="93"/>
      <c r="M971" s="91"/>
    </row>
    <row r="972">
      <c r="A972" s="80"/>
      <c r="F972" s="92"/>
      <c r="H972" s="93"/>
      <c r="M972" s="91"/>
    </row>
    <row r="973">
      <c r="A973" s="80"/>
      <c r="F973" s="92"/>
      <c r="H973" s="93"/>
      <c r="M973" s="91"/>
    </row>
    <row r="974">
      <c r="A974" s="80"/>
      <c r="F974" s="92"/>
      <c r="H974" s="93"/>
      <c r="M974" s="91"/>
    </row>
    <row r="975">
      <c r="A975" s="80"/>
      <c r="F975" s="92"/>
      <c r="H975" s="93"/>
      <c r="M975" s="91"/>
    </row>
    <row r="976">
      <c r="A976" s="80"/>
      <c r="F976" s="92"/>
      <c r="H976" s="93"/>
      <c r="M976" s="91"/>
    </row>
    <row r="977">
      <c r="A977" s="80"/>
      <c r="F977" s="92"/>
      <c r="H977" s="93"/>
      <c r="M977" s="91"/>
    </row>
    <row r="978">
      <c r="A978" s="80"/>
      <c r="F978" s="92"/>
      <c r="H978" s="93"/>
      <c r="M978" s="91"/>
    </row>
    <row r="979">
      <c r="A979" s="80"/>
      <c r="F979" s="92"/>
      <c r="H979" s="93"/>
      <c r="M979" s="91"/>
    </row>
    <row r="980">
      <c r="A980" s="80"/>
      <c r="F980" s="92"/>
      <c r="H980" s="93"/>
      <c r="M980" s="91"/>
    </row>
    <row r="981">
      <c r="A981" s="80"/>
      <c r="F981" s="92"/>
      <c r="H981" s="93"/>
      <c r="M981" s="91"/>
    </row>
    <row r="982">
      <c r="A982" s="80"/>
      <c r="F982" s="92"/>
      <c r="H982" s="93"/>
      <c r="M982" s="91"/>
    </row>
    <row r="983">
      <c r="A983" s="80"/>
      <c r="F983" s="92"/>
      <c r="H983" s="93"/>
      <c r="M983" s="91"/>
    </row>
    <row r="984">
      <c r="A984" s="80"/>
      <c r="F984" s="92"/>
      <c r="H984" s="93"/>
      <c r="M984" s="91"/>
    </row>
    <row r="985">
      <c r="A985" s="80"/>
      <c r="F985" s="92"/>
      <c r="H985" s="93"/>
      <c r="M985" s="91"/>
    </row>
    <row r="986">
      <c r="A986" s="80"/>
      <c r="F986" s="92"/>
      <c r="H986" s="93"/>
      <c r="M986" s="91"/>
    </row>
    <row r="987">
      <c r="A987" s="80"/>
      <c r="F987" s="92"/>
      <c r="H987" s="93"/>
      <c r="M987" s="91"/>
    </row>
    <row r="988">
      <c r="A988" s="80"/>
      <c r="F988" s="92"/>
      <c r="H988" s="93"/>
      <c r="M988" s="91"/>
    </row>
    <row r="989">
      <c r="A989" s="80"/>
      <c r="F989" s="92"/>
      <c r="H989" s="93"/>
      <c r="M989" s="91"/>
    </row>
    <row r="990">
      <c r="A990" s="80"/>
      <c r="F990" s="92"/>
      <c r="H990" s="93"/>
      <c r="M990" s="91"/>
    </row>
    <row r="991">
      <c r="A991" s="80"/>
      <c r="F991" s="92"/>
      <c r="H991" s="93"/>
      <c r="M991" s="91"/>
    </row>
    <row r="992">
      <c r="A992" s="80"/>
      <c r="F992" s="92"/>
      <c r="H992" s="93"/>
      <c r="M992" s="91"/>
    </row>
    <row r="993">
      <c r="A993" s="80"/>
      <c r="F993" s="92"/>
      <c r="H993" s="93"/>
      <c r="M993" s="91"/>
    </row>
    <row r="994">
      <c r="A994" s="80"/>
      <c r="F994" s="92"/>
      <c r="H994" s="93"/>
      <c r="M994" s="91"/>
    </row>
    <row r="995">
      <c r="A995" s="80"/>
      <c r="F995" s="92"/>
      <c r="H995" s="93"/>
      <c r="M995" s="91"/>
    </row>
    <row r="996">
      <c r="A996" s="80"/>
      <c r="F996" s="92"/>
      <c r="H996" s="93"/>
      <c r="M996" s="91"/>
    </row>
    <row r="997">
      <c r="A997" s="80"/>
      <c r="F997" s="92"/>
      <c r="H997" s="93"/>
      <c r="M997" s="91"/>
    </row>
    <row r="998">
      <c r="A998" s="80"/>
      <c r="F998" s="92"/>
      <c r="H998" s="93"/>
      <c r="M998" s="91"/>
    </row>
    <row r="999">
      <c r="A999" s="80"/>
      <c r="F999" s="92"/>
      <c r="H999" s="93"/>
      <c r="M999" s="91"/>
    </row>
    <row r="1000">
      <c r="A1000" s="80"/>
      <c r="F1000" s="92"/>
      <c r="H1000" s="93"/>
      <c r="M1000" s="91"/>
    </row>
  </sheetData>
  <mergeCells count="1">
    <mergeCell ref="L1:M1"/>
  </mergeCells>
  <conditionalFormatting sqref="E2 J2:J16">
    <cfRule type="containsText" dxfId="9" priority="1" operator="containsText" text="Sufficienti">
      <formula>NOT(ISERROR(SEARCH(("Sufficienti"),(E2))))</formula>
    </cfRule>
  </conditionalFormatting>
  <conditionalFormatting sqref="E2 J2:J16">
    <cfRule type="containsText" dxfId="10" priority="2" operator="containsText" text="Avviso">
      <formula>NOT(ISERROR(SEARCH(("Avviso"),(E2))))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5" width="15.13"/>
    <col customWidth="1" min="6" max="6" width="22.63"/>
    <col customWidth="1" min="7" max="7" width="15.13"/>
  </cols>
  <sheetData>
    <row r="1" ht="28.5" customHeight="1">
      <c r="A1" s="17" t="str">
        <f>Alunni!E1</f>
        <v>ID</v>
      </c>
      <c r="B1" s="22" t="str">
        <f>Alunni!F1</f>
        <v>Biglietti acquistati </v>
      </c>
      <c r="C1" s="25" t="str">
        <f>Alunni!H1</f>
        <v>Totale biglietti utilizzati </v>
      </c>
      <c r="D1" s="22" t="str">
        <f>Alunni!I1</f>
        <v>Totale biglietti rimanenti </v>
      </c>
      <c r="E1" s="22" t="str">
        <f>Alunni!J1</f>
        <v>Status biglietti </v>
      </c>
      <c r="F1" s="30" t="s">
        <v>25</v>
      </c>
      <c r="G1" s="30" t="s">
        <v>27</v>
      </c>
      <c r="H1" s="13"/>
      <c r="I1" s="13"/>
      <c r="J1" s="13"/>
    </row>
    <row r="2">
      <c r="A2" s="34">
        <f>Alunni!E3</f>
        <v>3848055</v>
      </c>
      <c r="B2" s="35">
        <f>Alunni!F3</f>
        <v>59</v>
      </c>
      <c r="C2" s="39">
        <f>Alunni!H3</f>
        <v>53</v>
      </c>
      <c r="D2" s="39">
        <f>Alunni!I3</f>
        <v>6</v>
      </c>
      <c r="E2" s="35" t="str">
        <f>Alunni!J3</f>
        <v>Sufficienti</v>
      </c>
      <c r="F2" s="34" t="str">
        <f>Alunni!K3</f>
        <v>email@email.com</v>
      </c>
      <c r="G2" s="34" t="str">
        <f>Alunni!L3</f>
        <v/>
      </c>
      <c r="H2" s="13"/>
      <c r="I2" s="13"/>
      <c r="J2" s="13"/>
    </row>
    <row r="3">
      <c r="A3" s="34">
        <f>Alunni!E2</f>
        <v>6524939</v>
      </c>
      <c r="B3" s="35">
        <f>Alunni!F2</f>
        <v>30</v>
      </c>
      <c r="C3" s="39">
        <f>Alunni!H2</f>
        <v>27</v>
      </c>
      <c r="D3" s="39">
        <f>Alunni!I2</f>
        <v>3</v>
      </c>
      <c r="E3" s="35" t="str">
        <f>Alunni!J2</f>
        <v>Inviare Avviso</v>
      </c>
      <c r="F3" s="34" t="str">
        <f>Alunni!K2</f>
        <v>gianpiero.torrisi@gmail.com</v>
      </c>
      <c r="G3" s="34" t="str">
        <f>Alunni!L2</f>
        <v>Inviato</v>
      </c>
      <c r="H3" s="13"/>
      <c r="I3" s="13"/>
      <c r="J3" s="13"/>
    </row>
    <row r="4">
      <c r="A4" s="34">
        <f>Alunni!E4</f>
        <v>5969695</v>
      </c>
      <c r="B4" s="35">
        <f>Alunni!F4</f>
        <v>80</v>
      </c>
      <c r="C4" s="39">
        <f>Alunni!H4</f>
        <v>5</v>
      </c>
      <c r="D4" s="39">
        <f>Alunni!I4</f>
        <v>75</v>
      </c>
      <c r="E4" s="35" t="str">
        <f>Alunni!J4</f>
        <v>Sufficienti</v>
      </c>
      <c r="F4" s="34" t="str">
        <f>Alunni!K4</f>
        <v>email@email.com</v>
      </c>
      <c r="G4" s="34" t="str">
        <f>Alunni!L4</f>
        <v/>
      </c>
      <c r="H4" s="13"/>
      <c r="I4" s="13"/>
      <c r="J4" s="13"/>
    </row>
    <row r="5">
      <c r="A5" s="34"/>
      <c r="B5" s="34"/>
      <c r="C5" s="34"/>
      <c r="D5" s="34"/>
      <c r="E5" s="34"/>
      <c r="F5" s="34"/>
      <c r="G5" s="34"/>
      <c r="H5" s="13"/>
      <c r="I5" s="13"/>
      <c r="J5" s="13"/>
    </row>
    <row r="6">
      <c r="A6" s="34"/>
      <c r="B6" s="34"/>
      <c r="C6" s="34"/>
      <c r="D6" s="34"/>
      <c r="E6" s="34"/>
      <c r="F6" s="34"/>
      <c r="G6" s="34"/>
      <c r="H6" s="13"/>
      <c r="I6" s="13"/>
      <c r="J6" s="13"/>
    </row>
    <row r="7">
      <c r="A7" s="34"/>
      <c r="B7" s="34"/>
      <c r="C7" s="34"/>
      <c r="D7" s="34"/>
      <c r="E7" s="34"/>
      <c r="F7" s="34"/>
      <c r="G7" s="34"/>
      <c r="H7" s="13"/>
      <c r="I7" s="13"/>
      <c r="J7" s="13"/>
    </row>
    <row r="8">
      <c r="A8" s="34"/>
      <c r="B8" s="34"/>
      <c r="C8" s="34"/>
      <c r="D8" s="34"/>
      <c r="E8" s="34"/>
      <c r="F8" s="34"/>
      <c r="G8" s="34"/>
      <c r="H8" s="13"/>
      <c r="I8" s="13"/>
      <c r="J8" s="13"/>
    </row>
    <row r="9">
      <c r="A9" s="34"/>
      <c r="B9" s="34"/>
      <c r="C9" s="34"/>
      <c r="D9" s="34"/>
      <c r="E9" s="34"/>
      <c r="F9" s="34"/>
      <c r="G9" s="34"/>
      <c r="H9" s="13"/>
      <c r="I9" s="13"/>
      <c r="J9" s="13"/>
    </row>
    <row r="10">
      <c r="A10" s="34"/>
      <c r="B10" s="34"/>
      <c r="C10" s="34"/>
      <c r="D10" s="34"/>
      <c r="E10" s="34"/>
      <c r="F10" s="34"/>
      <c r="G10" s="34"/>
      <c r="H10" s="13"/>
      <c r="I10" s="13"/>
      <c r="J10" s="13"/>
    </row>
    <row r="11">
      <c r="A11" s="34"/>
      <c r="B11" s="34"/>
      <c r="C11" s="34"/>
      <c r="D11" s="34"/>
      <c r="E11" s="34"/>
      <c r="F11" s="34"/>
      <c r="G11" s="34"/>
      <c r="H11" s="13"/>
      <c r="I11" s="13"/>
      <c r="J11" s="13"/>
    </row>
    <row r="12">
      <c r="A12" s="34"/>
      <c r="B12" s="34"/>
      <c r="C12" s="34"/>
      <c r="D12" s="34"/>
      <c r="E12" s="34"/>
      <c r="F12" s="34"/>
      <c r="G12" s="34"/>
      <c r="H12" s="13"/>
      <c r="I12" s="13"/>
      <c r="J12" s="13"/>
    </row>
    <row r="13">
      <c r="A13" s="34"/>
      <c r="B13" s="34"/>
      <c r="C13" s="34"/>
      <c r="D13" s="34"/>
      <c r="E13" s="34"/>
      <c r="F13" s="34"/>
      <c r="G13" s="34"/>
      <c r="H13" s="13"/>
      <c r="I13" s="13"/>
      <c r="J13" s="13"/>
    </row>
    <row r="14">
      <c r="A14" s="34"/>
      <c r="B14" s="34"/>
      <c r="C14" s="34"/>
      <c r="D14" s="34"/>
      <c r="E14" s="34"/>
      <c r="F14" s="34"/>
      <c r="G14" s="34"/>
      <c r="H14" s="13"/>
      <c r="I14" s="13"/>
      <c r="J14" s="13"/>
    </row>
    <row r="15">
      <c r="A15" s="34"/>
      <c r="B15" s="34"/>
      <c r="C15" s="34"/>
      <c r="D15" s="34"/>
      <c r="E15" s="34"/>
      <c r="F15" s="34"/>
      <c r="G15" s="34"/>
      <c r="H15" s="13"/>
      <c r="I15" s="13"/>
      <c r="J15" s="13"/>
    </row>
    <row r="16">
      <c r="A16" s="34"/>
      <c r="B16" s="34"/>
      <c r="C16" s="34"/>
      <c r="D16" s="34"/>
      <c r="E16" s="34"/>
      <c r="F16" s="34"/>
      <c r="G16" s="34"/>
      <c r="H16" s="13"/>
      <c r="I16" s="13"/>
      <c r="J16" s="13"/>
    </row>
    <row r="17">
      <c r="A17" s="34"/>
      <c r="B17" s="34"/>
      <c r="C17" s="34"/>
      <c r="D17" s="34"/>
      <c r="E17" s="34"/>
      <c r="F17" s="34"/>
      <c r="G17" s="34"/>
      <c r="H17" s="13"/>
      <c r="I17" s="13"/>
      <c r="J17" s="13"/>
    </row>
    <row r="18">
      <c r="A18" s="34"/>
      <c r="B18" s="34"/>
      <c r="C18" s="34"/>
      <c r="D18" s="34"/>
      <c r="E18" s="34"/>
      <c r="F18" s="34"/>
      <c r="G18" s="34"/>
      <c r="H18" s="13"/>
      <c r="I18" s="13"/>
      <c r="J18" s="13"/>
    </row>
    <row r="19">
      <c r="A19" s="34"/>
      <c r="B19" s="34"/>
      <c r="C19" s="34"/>
      <c r="D19" s="34"/>
      <c r="E19" s="34"/>
      <c r="F19" s="34"/>
      <c r="G19" s="34"/>
      <c r="H19" s="13"/>
      <c r="I19" s="13"/>
      <c r="J19" s="13"/>
    </row>
    <row r="20">
      <c r="A20" s="34"/>
      <c r="B20" s="34"/>
      <c r="C20" s="34"/>
      <c r="D20" s="34"/>
      <c r="E20" s="34"/>
      <c r="F20" s="34"/>
      <c r="G20" s="34"/>
      <c r="H20" s="13"/>
      <c r="I20" s="13"/>
      <c r="J20" s="13"/>
    </row>
    <row r="21">
      <c r="A21" s="13"/>
      <c r="B21" s="13"/>
      <c r="C21" s="13"/>
      <c r="D21" s="13"/>
      <c r="E21" s="13"/>
      <c r="F21" s="13"/>
      <c r="G21" s="13"/>
      <c r="H21" s="13"/>
      <c r="I21" s="13"/>
      <c r="J21" s="13"/>
    </row>
    <row r="22">
      <c r="A22" s="13"/>
      <c r="B22" s="13"/>
      <c r="C22" s="13"/>
      <c r="D22" s="13"/>
      <c r="E22" s="13"/>
      <c r="F22" s="13"/>
      <c r="G22" s="13"/>
      <c r="H22" s="13"/>
      <c r="I22" s="13"/>
      <c r="J22" s="13"/>
    </row>
    <row r="23">
      <c r="A23" s="13"/>
      <c r="B23" s="13"/>
      <c r="C23" s="13"/>
      <c r="D23" s="13"/>
      <c r="E23" s="13"/>
      <c r="F23" s="13"/>
      <c r="G23" s="13"/>
      <c r="H23" s="13"/>
      <c r="I23" s="13"/>
      <c r="J23" s="13"/>
    </row>
    <row r="24">
      <c r="A24" s="13"/>
      <c r="B24" s="13"/>
      <c r="C24" s="13"/>
      <c r="D24" s="13"/>
      <c r="E24" s="13"/>
      <c r="F24" s="13"/>
      <c r="G24" s="13"/>
      <c r="H24" s="13"/>
      <c r="I24" s="13"/>
      <c r="J24" s="13"/>
    </row>
    <row r="25">
      <c r="A25" s="13"/>
      <c r="B25" s="13"/>
      <c r="C25" s="13"/>
      <c r="D25" s="13"/>
      <c r="E25" s="13"/>
      <c r="F25" s="13"/>
      <c r="G25" s="13"/>
      <c r="H25" s="13"/>
      <c r="I25" s="13"/>
      <c r="J25" s="13"/>
    </row>
  </sheetData>
  <conditionalFormatting sqref="D2:D20">
    <cfRule type="cellIs" dxfId="4" priority="1" stopIfTrue="1" operator="lessThanOrEqual">
      <formula>5</formula>
    </cfRule>
  </conditionalFormatting>
  <conditionalFormatting sqref="G2:G20">
    <cfRule type="containsText" dxfId="5" priority="2" stopIfTrue="1" operator="containsText" text="Inviato">
      <formula>NOT(ISERROR(SEARCH(("Inviato"),(G2))))</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min="2" max="2" width="68.88"/>
  </cols>
  <sheetData>
    <row r="1" ht="27.0" customHeight="1">
      <c r="A1" s="83" t="s">
        <v>47</v>
      </c>
      <c r="B1" s="83" t="s">
        <v>48</v>
      </c>
      <c r="C1" s="13"/>
      <c r="D1" s="13"/>
      <c r="E1" s="13"/>
    </row>
    <row r="2">
      <c r="A2" s="84" t="s">
        <v>49</v>
      </c>
      <c r="B2" s="85">
        <v>5.0</v>
      </c>
      <c r="C2" s="13"/>
      <c r="D2" s="13"/>
      <c r="E2" s="13"/>
    </row>
    <row r="3">
      <c r="A3" s="84" t="s">
        <v>50</v>
      </c>
      <c r="B3" s="85" t="s">
        <v>51</v>
      </c>
      <c r="C3" s="13"/>
      <c r="D3" s="13"/>
      <c r="E3" s="13"/>
    </row>
    <row r="4">
      <c r="A4" s="84" t="s">
        <v>52</v>
      </c>
      <c r="B4" s="85" t="s">
        <v>53</v>
      </c>
      <c r="C4" s="13"/>
      <c r="D4" s="13"/>
      <c r="E4" s="13"/>
    </row>
    <row r="5">
      <c r="A5" s="84" t="s">
        <v>54</v>
      </c>
      <c r="B5" s="85" t="s">
        <v>55</v>
      </c>
      <c r="C5" s="13"/>
      <c r="D5" s="13"/>
      <c r="E5" s="13"/>
    </row>
    <row r="6" ht="37.5" customHeight="1">
      <c r="A6" s="84" t="s">
        <v>56</v>
      </c>
      <c r="B6" s="85" t="s">
        <v>57</v>
      </c>
      <c r="C6" s="13"/>
      <c r="D6" s="13"/>
      <c r="E6" s="13"/>
    </row>
    <row r="7">
      <c r="A7" s="86" t="s">
        <v>58</v>
      </c>
      <c r="B7" s="87" t="s">
        <v>59</v>
      </c>
      <c r="C7" s="13"/>
      <c r="D7" s="13"/>
      <c r="E7" s="13"/>
    </row>
    <row r="8">
      <c r="A8" s="86" t="s">
        <v>60</v>
      </c>
      <c r="B8" s="87" t="s">
        <v>61</v>
      </c>
      <c r="C8" s="13"/>
      <c r="D8" s="13"/>
      <c r="E8" s="13"/>
    </row>
    <row r="9">
      <c r="A9" s="13"/>
      <c r="B9" s="13"/>
      <c r="C9" s="13"/>
      <c r="D9" s="13"/>
      <c r="E9" s="13"/>
    </row>
    <row r="10">
      <c r="A10" s="13"/>
      <c r="B10" s="13"/>
      <c r="C10" s="13"/>
      <c r="D10" s="13"/>
      <c r="E10" s="13"/>
    </row>
  </sheetData>
  <drawing r:id="rId1"/>
</worksheet>
</file>