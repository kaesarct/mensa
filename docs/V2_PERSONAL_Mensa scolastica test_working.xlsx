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lunni" sheetId="2" r:id="rId6"/>
    <sheet state="visible" name="Famiglie" sheetId="3" r:id="rId7"/>
    <sheet state="visible" name="Log Ricariche" sheetId="4" r:id="rId8"/>
    <sheet state="visible" name="Log Utilizzi" sheetId="5" r:id="rId9"/>
    <sheet state="visible" name="Ordine Mensa" sheetId="6" r:id="rId10"/>
    <sheet state="visible" name="Impostazioni" sheetId="7" r:id="rId11"/>
    <sheet state="visible" name="Guida" sheetId="8" r:id="rId12"/>
    <sheet state="visible" name="Inserimento Famiglie"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Inserisci qui ogni ricarica quando ricevi il bonifico. I totali si aggiornano automaticamente nel foglio Alunni.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Inserisci qui ogni giorno i buoni usati. Normalmente si inserisce 1 buono per ogni pasto consumato.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Scrivi ON per inviare le email alle sole email di test. Scrivi OFF per inviare le email reali alle famiglie.</t>
      </text>
    </comment>
    <comment authorId="0" ref="B5">
      <text>
        <t xml:space="preserve">Puoi usare i segnaposto: [ID], [NOME], [COGNOME], [BIGLIETTI]</t>
      </text>
    </comment>
  </commentList>
</comments>
</file>

<file path=xl/sharedStrings.xml><?xml version="1.0" encoding="utf-8"?>
<sst xmlns="http://schemas.openxmlformats.org/spreadsheetml/2006/main" count="262" uniqueCount="233">
  <si>
    <t>🍔 GESTIONE MENSA SCOLASTICA</t>
  </si>
  <si>
    <t>Alunni Totali</t>
  </si>
  <si>
    <t>Sotto Soglia</t>
  </si>
  <si>
    <t>Avvisi Inviati (mese)</t>
  </si>
  <si>
    <t>Buoni Usati (totale)</t>
  </si>
  <si>
    <r>
      <rPr>
        <rFont val="Pacifico"/>
        <b/>
        <i/>
        <color rgb="FF4285F4"/>
        <sz val="16.0"/>
      </rPr>
      <t>YEP</t>
    </r>
    <r>
      <rPr>
        <rFont val="Pacifico"/>
        <b/>
        <i/>
        <color rgb="FFFF0000"/>
        <sz val="16.0"/>
      </rPr>
      <t>!</t>
    </r>
  </si>
  <si>
    <t>ID</t>
  </si>
  <si>
    <t>Nome</t>
  </si>
  <si>
    <t>Cognome</t>
  </si>
  <si>
    <t>Biglietti acquistati</t>
  </si>
  <si>
    <t>Totale biglietti utilizzati</t>
  </si>
  <si>
    <t>Data Ricarica</t>
  </si>
  <si>
    <t>Totale biglietti rimanenti</t>
  </si>
  <si>
    <t xml:space="preserve">Data di nascita </t>
  </si>
  <si>
    <t>Status Avviso</t>
  </si>
  <si>
    <t>Email Notifica</t>
  </si>
  <si>
    <t xml:space="preserve">Biglietti acquistati </t>
  </si>
  <si>
    <t>Utilizza Biglietto mensa cliccando sul pulsante</t>
  </si>
  <si>
    <t xml:space="preserve">Totale biglietti utilizzati </t>
  </si>
  <si>
    <t>ID Alunno</t>
  </si>
  <si>
    <t>Importo (biglietti)</t>
  </si>
  <si>
    <t>Riferimento Bonifico</t>
  </si>
  <si>
    <t>Link Documento Drive</t>
  </si>
  <si>
    <t xml:space="preserve">Totale biglietti rimanenti </t>
  </si>
  <si>
    <t>Operatore</t>
  </si>
  <si>
    <t xml:space="preserve">Status biglietti </t>
  </si>
  <si>
    <t>email notifica</t>
  </si>
  <si>
    <t xml:space="preserve">     Avvisa manualmente/ Cancella Avviso</t>
  </si>
  <si>
    <t>Note</t>
  </si>
  <si>
    <t>Documenti/Bonifici eseguiti</t>
  </si>
  <si>
    <t>Check avviso</t>
  </si>
  <si>
    <t>Status biglietti</t>
  </si>
  <si>
    <t>Mario</t>
  </si>
  <si>
    <t>Rossi</t>
  </si>
  <si>
    <t>🔴 Alunni che necessitano ricarica urgente</t>
  </si>
  <si>
    <t>gianpiero.torrisi@gmail.com</t>
  </si>
  <si>
    <t>Ultimo aggiornamento:</t>
  </si>
  <si>
    <t>Inviato</t>
  </si>
  <si>
    <t>Allergia a Licis</t>
  </si>
  <si>
    <t>https://drive.google.com/file/d/1Rd-ec4uSYa7zi4Z78IhNjBkKowyotckn/view?usp=drive_link</t>
  </si>
  <si>
    <t>Bianca</t>
  </si>
  <si>
    <t>BON-2026-001</t>
  </si>
  <si>
    <t>Bianchi</t>
  </si>
  <si>
    <t>Admin</t>
  </si>
  <si>
    <t>email@email.com</t>
  </si>
  <si>
    <t>Ciccio</t>
  </si>
  <si>
    <t>Pasticcio</t>
  </si>
  <si>
    <t>Pinco</t>
  </si>
  <si>
    <t>Pallo</t>
  </si>
  <si>
    <t>faroclaudio@gmail.com</t>
  </si>
  <si>
    <t>BON-2026-002</t>
  </si>
  <si>
    <t>tizio</t>
  </si>
  <si>
    <t>caio</t>
  </si>
  <si>
    <t>Data Utilizzo</t>
  </si>
  <si>
    <t>Buoni Usati (numero)</t>
  </si>
  <si>
    <t>Classe/Sezione</t>
  </si>
  <si>
    <t>BON-2026-003</t>
  </si>
  <si>
    <t>nessuna</t>
  </si>
  <si>
    <t>TTR-22-001</t>
  </si>
  <si>
    <t>BON-2026-004</t>
  </si>
  <si>
    <t>-</t>
  </si>
  <si>
    <t>Inserimento Iniziale</t>
  </si>
  <si>
    <t>1A</t>
  </si>
  <si>
    <t>Consumati a inizio anno</t>
  </si>
  <si>
    <t>2B</t>
  </si>
  <si>
    <t>3A</t>
  </si>
  <si>
    <t>1B</t>
  </si>
  <si>
    <t>🍽️ Mensa Scolastica</t>
  </si>
  <si>
    <t>ORDINE PASTI MENSILE</t>
  </si>
  <si>
    <t>Mese di Riferimento:</t>
  </si>
  <si>
    <t>Settembre</t>
  </si>
  <si>
    <t>Anno:</t>
  </si>
  <si>
    <t>Numero Pasti Richiesti:</t>
  </si>
  <si>
    <t>Email Fornitore:</t>
  </si>
  <si>
    <t>Data Invio Ordine:</t>
  </si>
  <si>
    <t>Stato Ordine:</t>
  </si>
  <si>
    <t>In attesa</t>
  </si>
  <si>
    <t>Note aggiuntive per il fornitore:</t>
  </si>
  <si>
    <t>Menu privo di allergeni per gli studenti con intolleranze registrate.</t>
  </si>
  <si>
    <t>Soglia Minima</t>
  </si>
  <si>
    <t>Test Mode</t>
  </si>
  <si>
    <t>ON</t>
  </si>
  <si>
    <t>Email Test</t>
  </si>
  <si>
    <t>Oggetto Email Avviso</t>
  </si>
  <si>
    <t>Avviso: Credito Mensa in esaurimento</t>
  </si>
  <si>
    <t>Testo Email Avviso</t>
  </si>
  <si>
    <t>Attenzione: il conto mensa con ID [ID] - [NOME] [COGNOME] ha raggiunto la soglia minima di [BIGLIETTI] buoni. Si prega di ricaricare indicando l'IBAN. Cordiali Saluti.</t>
  </si>
  <si>
    <t>Testo Email Buono Usato</t>
  </si>
  <si>
    <t>Sul conto mensa con ID [ID] - [NOME] [COGNOME] è stato utilizzato un buono pasto. Rimangono [RIMANENTI] biglietti.</t>
  </si>
  <si>
    <t>📘 MANUALE OPERATIVO &amp; GUIDA UTENTE - GESTIONALE MENSA SCOLASTICA</t>
  </si>
  <si>
    <t>Testo Email Ordine Fornitore</t>
  </si>
  <si>
    <t>Documentazione istituzionale ad uso di segreteria, docenti referenti e operatori mensa • Ultimo aggiornamento: Settembre 2026</t>
  </si>
  <si>
    <t>Si prega di procedere con numero [PASTI] pasti da fornire per il mese di [MESE] [ANNO]. Cordiali Saluti.</t>
  </si>
  <si>
    <t>Email Fornitore</t>
  </si>
  <si>
    <t>1. ARCHITETTURA DEL SISTEMA E FLUSSO DATI</t>
  </si>
  <si>
    <t>Fase del Flusso Operativo</t>
  </si>
  <si>
    <t>ID Storico Base (Registro Massimo)</t>
  </si>
  <si>
    <t>Prossimo ID Univoco Garantito</t>
  </si>
  <si>
    <t>Schede Coinvolte</t>
  </si>
  <si>
    <t>Cosa Avviene nel Sistema</t>
  </si>
  <si>
    <t>Istruzioni per l'Operatore</t>
  </si>
  <si>
    <t>Controlli &amp; Note</t>
  </si>
  <si>
    <t>1. Censimento &amp; Anagrafica</t>
  </si>
  <si>
    <t>Alunni</t>
  </si>
  <si>
    <t>Registrazione dei dati personali dell'alunno, ID univoco, data di nascita e indirizzo email del genitore per le comunicazioni.</t>
  </si>
  <si>
    <t>Inserire una nuova riga in 'Alunni' completando Nome, Cognome, Data Nascita, ID univoco ed Email notifica.</t>
  </si>
  <si>
    <t>L'ID Alunno è la chiave primaria: deve essere univoco per ciascun iscritto.</t>
  </si>
  <si>
    <t>2. Accredito Ricariche Buoni</t>
  </si>
  <si>
    <t>Log Ricariche ➔ Alunni</t>
  </si>
  <si>
    <t>Ogni ricarica versata dalle famiglie (bonifico/ricevuta) viene registrata nel log e alimenta automaticamente i crediti.</t>
  </si>
  <si>
    <t>Inserire in 'Log Ricariche' Data, ID Alunno, numero biglietti acquistati, CRO/riferimento bonifico e link alla ricevuta Drive.</t>
  </si>
  <si>
    <t>Non modificare a mano i 'Biglietti Acquistati' in 'Alunni': il saldo si calcola da solo.</t>
  </si>
  <si>
    <t>3. Registrazione Presenze &amp; Pasti</t>
  </si>
  <si>
    <t>Alunni ➔ Log Utilizzi</t>
  </si>
  <si>
    <t>Ogni pasto consumato al refettorio decurta il credito residuo dell'alunno e crea una riga storica nei consumi.</t>
  </si>
  <si>
    <t>Cliccare sul pulsante interattivo 'Utilizza Biglietto mensa' in 'Alunni' (oppure inserire riga in 'Log Utilizzi').</t>
  </si>
  <si>
    <t>Il campo 'Totale biglietti rimanenti' decresce istantaneamente di 1 buono per ogni pasto.</t>
  </si>
  <si>
    <t>4. Monitoraggio &amp; Allerte Saldo</t>
  </si>
  <si>
    <t>Dashboard ➔ Alunni ➔ Famiglie</t>
  </si>
  <si>
    <t>Il sistema confronta i biglietti rimanenti con la Soglia Minima (foglio Impostazioni). Se sotto soglia, scatta lo stato di allerta.</t>
  </si>
  <si>
    <t>Consultare la 'Dashboard' per i nominativi urgenti. In 'Alunni', premere 'Avvisa manualmente' per inviare l'email di sollecito.</t>
  </si>
  <si>
    <t>Se Test Mode è 'ON', l'email viene inviata alla casella di test e non ai genitori.</t>
  </si>
  <si>
    <t>5. Ordine Fornitura al Catering</t>
  </si>
  <si>
    <t>Ordine Mensa ➔ Fornitore</t>
  </si>
  <si>
    <t>Pianificazione mensile dei pasti necessari, consolidamento fabbisogno, diete speciali e trasmissione formale via email.</t>
  </si>
  <si>
    <t>Impostare mese e anno in 'Ordine Mensa', verificare numero pasti richiesti, inserire note dietetiche e inviare l'ordine.</t>
  </si>
  <si>
    <t>L'email viene generata automaticamente a partire dal modello definito in 'Impostazioni'.</t>
  </si>
  <si>
    <t>2. GUIDA OPERATIVA MODULO PER MODULO (COSA È POSSIBILE FARE E COME)</t>
  </si>
  <si>
    <t>Modulo / Scheda</t>
  </si>
  <si>
    <t>Ruolo &amp; Finalità</t>
  </si>
  <si>
    <t>Cosa è possibile fare</t>
  </si>
  <si>
    <t>Come procedere (Passo-passo)</t>
  </si>
  <si>
    <t>Buone Pratiche &amp; Regole</t>
  </si>
  <si>
    <t>📊 Dashboard</t>
  </si>
  <si>
    <t>Cruscotto di controllo direzionale e monitoraggio KPI in tempo reale</t>
  </si>
  <si>
    <t>• Visionare il totale alunni iscritti al servizio
• Monitorare gli studenti con saldo sotto la soglia minima
• Controllare il volume di avvisi sollecito inviati nel mese
• Consultare il totale storico dei buoni mensa utilizzati
• Esaminare l'elenco degli alunni con ricarica urgente</t>
  </si>
  <si>
    <t>1. Aprire la scheda ogni mattina per una panoramica immediata dello stato mensa.
2. Verificare i 4 indicatori sintetici in riga 5.
3. Controllare la sezione 'Alunni che necessitano ricarica urgente' per individuare chi deve ricaricare prima del pranzo.</t>
  </si>
  <si>
    <t>⚠️ Scheda totalmente automatica: non digitare o incollare dati manualmente per evitare di sovrascrivere i collegamenti e le formule.</t>
  </si>
  <si>
    <t>👥 Alunni</t>
  </si>
  <si>
    <t>Anagrafica centrale, gestione crediti individuali e azioni operative</t>
  </si>
  <si>
    <t>• Censire nuovi studenti con dati anagrafici e ID univoco
• Consultare i biglietti acquistati, utilizzati e rimanenti per ciascun alunno
• Scalare il buono pasto giornaliero con il pulsante dedicato
• Verificare lo 'Status biglietti' ('Sufficienti' o 'Inviare Avviso')
• Inviare avviso manuale di ricarica via email alla famiglia
• Annotare diete sanitarie/religiose e archiviare link ricevute</t>
  </si>
  <si>
    <t>1. NUOVO ISCRITTO: Aggiungere una riga inserendo Nome, Cognome, Data nascita, ID ed Email genitore.
2. CONSUMO PASTO: Cliccare sul pulsante 'Utilizza Biglietto mensa' in corrispondenza dell'alunno.
3. SOLLECITO: Se lo Status è 'Inviare Avviso', cliccare su 'Avvisa manualmente' per recapitare l'email predisposta.
4. DIETE &amp; NOTE: Compilare la colonna Note (es. allergie, celiachia) e inserire in Col N il link alla contabile.</t>
  </si>
  <si>
    <t>💡 Le colonne Biglietti acquistati, utilizzati e rimanenti contengono formule dinamiche: non sovrascrivere mai con numeri fissi.</t>
  </si>
  <si>
    <t>👨‍👩‍👧 Famiglie</t>
  </si>
  <si>
    <t>Registro aggregato trasparente e situazione contabile per i genitori</t>
  </si>
  <si>
    <t>• Consultare il riepilogo contabile completo di ogni nucleo familiare
• Verificare lo stato di ricezione dell'avviso di pagamento ('Inviato')
• Esportare elenchi e prospetti per colloqui o rendiconti amministrativi
• Verificare la correttezza dell'indirizzo email notifica registrato</t>
  </si>
  <si>
    <t>1. Accedere alla scheda per consultazioni rapide senza rischio di modifiche operative.
2. Filtrare o ordinare per ID Alunno, Cognome o Status biglietti.
3. Riferirsi alla colonna 'Totale biglietti rimanenti' per comunicare il saldo ai genitori.</t>
  </si>
  <si>
    <t>🔒 Foglio dedicato alla consultazione e verifica. I valori provengono dall'anagrafica 'Alunni' in modalità protetta.</t>
  </si>
  <si>
    <t>💳 Log Ricariche</t>
  </si>
  <si>
    <t>Registro contabile cronologico di tutti i versamenti e bonifici ricevuti</t>
  </si>
  <si>
    <t>• Accreditare nuovi pacchetti di buoni pasto agli studenti
• Registrare la data esatta del pagamento e l'ID del beneficiario
• Tracciare il codice CRO/Riferimento Bonifico bancario
• Inserire il collegamento ipertestuale alla ricevuta salvata su Google Drive
• Tracciare l'operatore di segreteria autore della registrazione</t>
  </si>
  <si>
    <t>1. Verificare l'accredito sul conto scolastico o la ricevuta consegnata dal genitore.
2. Posizionarsi sulla prima riga libera di 'Log Ricariche'.
3. Inserire Data Ricarica (AAAA-MM-GG o GG/MM/AAAA) e l'ID Alunno corretto.
4. Indicare il numero di buoni acquistati (es. 30, 50, 80) e i dati anagrafici.
5. Inserire il codice bonifico, l'eventuale URL del file Drive e il nome operatore.</t>
  </si>
  <si>
    <t>✅ L'ID Alunno deve coincidere esattamente con quello registrato in 'Alunni', altrimenti il saldo dell'alunno non verrà incrementato.</t>
  </si>
  <si>
    <t>🍽️ Log Utilizzi</t>
  </si>
  <si>
    <t>Registro storico e analitico di ogni singolo buono pasto fruito</t>
  </si>
  <si>
    <t>• Conservare lo storico completo di tutti i pasti serviti a mensa
• Tracciare data, studente fruitore, classe/sezione e numero buoni usati
• Annotare specifiche sul pasto (es. pasto speciale servito o recupero)
• Registrare manualmente utilizzi straordinari o correzioni</t>
  </si>
  <si>
    <t>1. REGISTRAZIONE AUTOMATICA: Ogni pressione del pulsante pasto in 'Alunni' aggiunge in tempo reale una riga con data, ID e nominativo.
2. INSERIMENTO MANUALE: Se occorre registrare un pasto a posteriori, inserire una nuova riga con Data Utilizzo, ID Alunno, Buoni Usati (di norma 1), Nome, Cognome, Classe e Note.</t>
  </si>
  <si>
    <t>📌 Ogni buono registrato in questo foglio aumenta il totale dei pasti consumati e decrementa automaticamente i biglietti residui.</t>
  </si>
  <si>
    <t>📦 Ordine Mensa</t>
  </si>
  <si>
    <t>Modulo di approvvigionamento pasti e trasmissione ordine al fornitore</t>
  </si>
  <si>
    <t>• Definire il mese e l'anno di competenza del servizio ristorazione
• Quantificare e consolidare il fabbisogno complessivo dei pasti
• Specificare prescrizioni per celiachia, allergie alimentari e diete etico-religiose
• Monitorare lo 'Stato Ordine' ('In attesa' / 'Inviato') e la 'Data Invio Ordine'
• Inviare l'ordine formale via email direttamente alla ditta di catering</t>
  </si>
  <si>
    <t>1. Selezionare o digitare il Mese di Riferimento (cella B5) e l'Anno (cella B6).
2. Verificare il Numero Pasti Richiesti calcolati in cella B7.
3. Compilare le 'Note aggiuntive per il fornitore' (cella B12) dettagliando le diete speciali.
4. Controllare l'email del fornitore in B8 e avviare la procedura di invio ordine.</t>
  </si>
  <si>
    <t>✉️ Il testo della mail viene composto automaticamente dal template in 'Impostazioni' sostituendo i campi dinamici [PASTI], [MESE] e [ANNO].</t>
  </si>
  <si>
    <t>⚙️ Impostazioni</t>
  </si>
  <si>
    <t>Pannello parametri globali, soglie di allerta e template comunicazioni</t>
  </si>
  <si>
    <t>• Impostare la 'Soglia Minima' di buoni sotto cui scatta l'avviso di credito
• Attivare la 'Test Mode' (ON/OFF) per collaudare le email in sicurezza
• Configurare l'indirizzo 'Email Test' a cui recapitare le notifiche di prova
• Personalizzare oggetti e testi per le email di avviso, pasto usato e ordine fornitore
• Impostare l'indirizzo istituzionale 'Email Fornitore'</t>
  </si>
  <si>
    <t>1. SOGLIA MINIMA (B1): Inserire il numero di buoni residui (es. 5) che attiva l'allerta 'Inviare Avviso'.
2. TEST MODE (B2): Impostare 'ON' durante le prove per non inviare mail ai genitori. Mettere 'OFF' per l'uso ordinario.
3. EMAIL TEST (B3): Digitare la propria email aziendale/scolastica per ricevere le prove.
4. TEMPLATE EMAIL (B4:B7): Modificare i messaggi mantenendo i tag tra parentesi quadre: [ID], [NOME], [COGNOME], [BIGLIETTI], [RIMANENTI], [PASTI], [MESE], [ANNO].</t>
  </si>
  <si>
    <t>⚠️ Non modificare le diciture in Colonna A. Prestare la massima attenzione a non cancellare i tag dinamici [TAG] all'interno dei testi email.</t>
  </si>
  <si>
    <t>3. DOMANDE FREQUENTI &amp; PROCEDURE OPERATIVE RAPIDE (HOW-TO)</t>
  </si>
  <si>
    <t>Scenario / Situazione Operativa</t>
  </si>
  <si>
    <t>Scheda di Riferimento</t>
  </si>
  <si>
    <t>Procedura Corretta Passo-Passo</t>
  </si>
  <si>
    <t>Cosa Evitare Assolutamente</t>
  </si>
  <si>
    <t>Regola d'Oro</t>
  </si>
  <si>
    <t>Come registrare un nuovo alunno che entra a mensa?</t>
  </si>
  <si>
    <t>Aprire 'Alunni', scorrere fino alla prima riga vuota, inserire Nome, Cognome, Data Nascita, generare un ID univoco a 7 cifre ed inserire l'email del genitore.</t>
  </si>
  <si>
    <t>Non sovrascrivere righe di altri alunni e non lasciare il campo ID vuoto.</t>
  </si>
  <si>
    <t>L'ID Alunno è il legame fondamentale per ricariche e consumi.</t>
  </si>
  <si>
    <t>Un genitore ha fatto un bonifico ma il saldo non sale</t>
  </si>
  <si>
    <t>Log Ricariche</t>
  </si>
  <si>
    <t>Verificare che la ricarica sia stata inserita in 'Log Ricariche' e che l'ID Alunno digitato coincida perfettamente con l'ID della scheda 'Alunni'.</t>
  </si>
  <si>
    <t>Non digitare direttamente l'importo nella colonna 'Biglietti acquistati' di 'Alunni'.</t>
  </si>
  <si>
    <t>Se l'ID coincide, il calcolo della formula SUMIF è automatico e istantaneo.</t>
  </si>
  <si>
    <t>Come scalare il buono a un alunno presente a mensa?</t>
  </si>
  <si>
    <t>Cercare l'alunno nella scheda 'Alunni' e cliccare sul pulsante 'Utilizza Biglietto mensa' in colonna G. L'operazione scalerà 1 buono e scriverà in 'Log Utilizzi'.</t>
  </si>
  <si>
    <t>Non scalare manualmente il totale nella colonna H.</t>
  </si>
  <si>
    <t>Controllare periodicamente che i pasti registrati coincidano con le presenze fisiche.</t>
  </si>
  <si>
    <t>Come sollecitare una famiglia con credito in esaurimento?</t>
  </si>
  <si>
    <t>Alunni / Dashboard</t>
  </si>
  <si>
    <t>Dalla Dashboard individuare gli alunni in stato 'Inviare Avviso'. In 'Alunni' cliccare sul pulsante 'Avvisa manualmente' in colonna L per spedire l'email.</t>
  </si>
  <si>
    <t>Non inviare email con Test Mode su ON se si intende recapitarla davvero al genitore.</t>
  </si>
  <si>
    <t>Prima di inviare all'inizio dell'anno scolastico, testare sempre con Test Mode 'ON'.</t>
  </si>
  <si>
    <t>Come gestire alunni con intolleranze alimentari o diete speciali?</t>
  </si>
  <si>
    <t>Alunni / Ordine Mensa</t>
  </si>
  <si>
    <t>Specificare l'allergia nella colonna 'Note' di 'Alunni' (es. Allergia a lattosio/glutine) e riassumere le diete nelle 'Note aggiuntive per il fornitore' in 'Ordine Mensa'.</t>
  </si>
  <si>
    <t>Non omettere le segnalazioni mediche nell'ordine mensile trasmesso al catering.</t>
  </si>
  <si>
    <t>La sicurezza alimentare degli studenti ha la massima priorità.</t>
  </si>
  <si>
    <t>💡 Consiglio Operativo: Eseguire periodicamente una verifica incrociata tra 'Dashboard' e 'Alunni'. Per assistenza tecnica o anomalie di calcolo, verificare che nessun operatore abbia incollato valori statici sopra le formule evidenziate.</t>
  </si>
  <si>
    <t>🍔 GESTIONE MENSA - INSERIMENTO NUOVE FAMIGLIE E ASSEGNAZIONE ID</t>
  </si>
  <si>
    <t>Modulo anagrafico per la registrazione guidata di nuove famiglie con garanzia di ID univoco anticollisione</t>
  </si>
  <si>
    <t>PROSSIMO ID DISPONIBILE</t>
  </si>
  <si>
    <t>FAMIGLIE / ALUNNI ATTIVI</t>
  </si>
  <si>
    <t>ID STORICO PROTETTO</t>
  </si>
  <si>
    <t>📝 SCHEDA INSERIMENTO NUOVA FAMIGLIA</t>
  </si>
  <si>
    <t>⚙️ PROCEDURA OPERATIVA E AUTOMAZIONI</t>
  </si>
  <si>
    <t>Campo Anagrafico</t>
  </si>
  <si>
    <t>Valore da Inserire</t>
  </si>
  <si>
    <t>Passo</t>
  </si>
  <si>
    <t>Istruzioni Dettagliate</t>
  </si>
  <si>
    <t>ID Univoco Generato</t>
  </si>
  <si>
    <t>1. Verifica ID</t>
  </si>
  <si>
    <t>L'ID viene calcolato automaticamente dal registro storico. Nessun ID verrà mai duplicato anche in caso di cancellazioni.</t>
  </si>
  <si>
    <t>Nome Alunno</t>
  </si>
  <si>
    <t>2. Inserimento in 'Alunni'</t>
  </si>
  <si>
    <t>Inserisci Nome, Cognome, Data nascita e ID nella prima riga vuota di 'Alunni' (ed Email nella colonna K).</t>
  </si>
  <si>
    <t>Cognome Alunno</t>
  </si>
  <si>
    <t>3. Scheda 'Famiglie'</t>
  </si>
  <si>
    <t>La scheda 'Famiglie' si aggancia in automatico all'ID senza necessità di formule manuali.</t>
  </si>
  <si>
    <t>Data di Nascita (gg/mm/aaaa)</t>
  </si>
  <si>
    <t>4. Registra Ricarica</t>
  </si>
  <si>
    <t>Se è stato effettuato un bonifico, inserisci la ricarica in 'Log Ricariche' con l'ID assegnato.</t>
  </si>
  <si>
    <t>Email Notifica Genitore</t>
  </si>
  <si>
    <t>5. Controllo Dashboard</t>
  </si>
  <si>
    <t>Il saldo biglietti e lo status (Inviare Avviso / Sufficienti) si allineano in tempo reale sulla Dashboard.</t>
  </si>
  <si>
    <t>Classe / Sezione</t>
  </si>
  <si>
    <t>Note / Allergie / Intolleranze</t>
  </si>
  <si>
    <t>Biglietti Iniziali Acquistati</t>
  </si>
  <si>
    <t>Riferimento Ricevuta Bonifico</t>
  </si>
  <si>
    <t xml:space="preserve">CONFERMA E REGISTRA FAMIGLIA
</t>
  </si>
  <si>
    <t>📋 RIEPILOGO ALUNNI E FAMIGLIE REGISTRATE NEL SISTEMA</t>
  </si>
  <si>
    <t>Biglietti Rimanenti</t>
  </si>
  <si>
    <t>Status Biglietti</t>
  </si>
  <si>
    <t>Avviso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</si>
</sst>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d/yyyy h:mm:ss"/>
  </numFmts>
  <fonts count="46">
    <font>
      <sz val="10.0"/>
      <color rgb="FF000000"/>
      <name val="Arial"/>
      <scheme val="minor"/>
    </font>
    <font>
      <b/>
      <sz val="24.0"/>
      <color rgb="FFFFFFFF"/>
      <name val="Arial"/>
      <scheme val="minor"/>
    </font>
    <font>
      <b/>
      <sz val="11.0"/>
      <color rgb="FF0F5131"/>
      <name val="Arial"/>
      <scheme val="minor"/>
    </font>
    <font/>
    <font>
      <b/>
      <sz val="11.0"/>
      <color rgb="FF841F29"/>
      <name val="Arial"/>
      <scheme val="minor"/>
    </font>
    <font>
      <b/>
      <sz val="11.0"/>
      <color rgb="FF663B00"/>
      <name val="Arial"/>
      <scheme val="minor"/>
    </font>
    <font>
      <b/>
      <sz val="11.0"/>
      <color rgb="FF074297"/>
      <name val="Arial"/>
      <scheme val="minor"/>
    </font>
    <font>
      <b/>
      <sz val="24.0"/>
      <color rgb="FF0F5131"/>
      <name val="Arial"/>
      <scheme val="minor"/>
    </font>
    <font>
      <b/>
      <sz val="24.0"/>
      <color rgb="FF841F29"/>
      <name val="Arial"/>
      <scheme val="minor"/>
    </font>
    <font>
      <b/>
      <color rgb="FFFFFFFF"/>
      <name val="Arial"/>
      <scheme val="minor"/>
    </font>
    <font>
      <b/>
      <sz val="24.0"/>
      <color rgb="FF663B00"/>
      <name val="Arial"/>
      <scheme val="minor"/>
    </font>
    <font>
      <color theme="1"/>
      <name val="Arial"/>
      <scheme val="minor"/>
    </font>
    <font>
      <color theme="1"/>
      <name val="Roboto"/>
    </font>
    <font>
      <b/>
      <sz val="24.0"/>
      <color rgb="FF074297"/>
      <name val="Arial"/>
      <scheme val="minor"/>
    </font>
    <font>
      <sz val="10.0"/>
      <color theme="1"/>
      <name val="Roboto"/>
    </font>
    <font>
      <b/>
      <sz val="13.0"/>
      <color rgb="FFAF2A37"/>
      <name val="Arial"/>
      <scheme val="minor"/>
    </font>
    <font>
      <i/>
      <sz val="9.0"/>
      <color rgb="FF6B757C"/>
      <name val="Arial"/>
      <scheme val="minor"/>
    </font>
    <font>
      <u/>
      <color rgb="FF0000FF"/>
    </font>
    <font>
      <b/>
      <sz val="14.0"/>
      <color rgb="FF1A3557"/>
      <name val="Arial"/>
      <scheme val="minor"/>
    </font>
    <font>
      <b/>
      <sz val="20.0"/>
      <color rgb="FF1A3557"/>
      <name val="Arial"/>
      <scheme val="minor"/>
    </font>
    <font>
      <b/>
      <color theme="1"/>
      <name val="Arial"/>
      <scheme val="minor"/>
    </font>
    <font>
      <b/>
      <color rgb="FF000000"/>
      <name val="Arial"/>
      <scheme val="minor"/>
    </font>
    <font>
      <color rgb="FF000000"/>
      <name val="Arial"/>
      <scheme val="minor"/>
    </font>
    <font>
      <b/>
      <sz val="13.0"/>
      <color rgb="FFFFFFFF"/>
      <name val="Roboto"/>
    </font>
    <font>
      <i/>
      <sz val="10.0"/>
      <color rgb="FFD3E2FF"/>
      <name val="Roboto"/>
    </font>
    <font>
      <b/>
      <sz val="11.0"/>
      <color rgb="FFFFFFFF"/>
      <name val="Roboto"/>
    </font>
    <font>
      <b/>
      <sz val="10.0"/>
      <color rgb="FF181C1F"/>
      <name val="Roboto"/>
    </font>
    <font>
      <color theme="0"/>
      <name val="Arial"/>
      <scheme val="minor"/>
    </font>
    <font>
      <b/>
      <sz val="10.0"/>
      <color rgb="FF1A3556"/>
      <name val="Roboto"/>
    </font>
    <font>
      <sz val="9.0"/>
      <color rgb="FF191C21"/>
      <name val="Roboto"/>
    </font>
    <font>
      <i/>
      <sz val="9.0"/>
      <color rgb="FF3F4759"/>
      <name val="Roboto"/>
    </font>
    <font>
      <b/>
      <sz val="13.0"/>
      <color rgb="FFFFFFFF"/>
      <name val="Arial"/>
      <scheme val="minor"/>
    </font>
    <font>
      <i/>
      <sz val="10.0"/>
      <color rgb="FFE5EDF9"/>
      <name val="Arial"/>
      <scheme val="minor"/>
    </font>
    <font>
      <b/>
      <sz val="10.0"/>
      <color rgb="FF264F11"/>
      <name val="Arial"/>
      <scheme val="minor"/>
    </font>
    <font>
      <b/>
      <sz val="10.0"/>
      <color rgb="FF0A5493"/>
      <name val="Arial"/>
      <scheme val="minor"/>
    </font>
    <font>
      <b/>
      <sz val="10.0"/>
      <color rgb="FF444444"/>
      <name val="Arial"/>
      <scheme val="minor"/>
    </font>
    <font>
      <b/>
      <sz val="18.0"/>
      <color rgb="FF1E4421"/>
      <name val="Arial"/>
      <scheme val="minor"/>
    </font>
    <font>
      <b/>
      <sz val="18.0"/>
      <color rgb="FF0A5493"/>
      <name val="Arial"/>
      <scheme val="minor"/>
    </font>
    <font>
      <b/>
      <sz val="18.0"/>
      <color rgb="FF444444"/>
      <name val="Arial"/>
      <scheme val="minor"/>
    </font>
    <font>
      <b/>
      <sz val="11.0"/>
      <color rgb="FFFFFFFF"/>
      <name val="Arial"/>
      <scheme val="minor"/>
    </font>
    <font>
      <b/>
      <sz val="10.0"/>
      <color theme="1"/>
      <name val="Arial"/>
      <scheme val="minor"/>
    </font>
    <font>
      <b/>
      <sz val="11.0"/>
      <color rgb="FF197F19"/>
      <name val="Arial"/>
      <scheme val="minor"/>
    </font>
    <font>
      <b/>
      <sz val="9.0"/>
      <color theme="1"/>
      <name val="Arial"/>
      <scheme val="minor"/>
    </font>
    <font>
      <sz val="9.0"/>
      <color theme="1"/>
      <name val="Arial"/>
      <scheme val="minor"/>
    </font>
    <font>
      <sz val="10.0"/>
      <color theme="1"/>
      <name val="Arial"/>
      <scheme val="minor"/>
    </font>
    <font>
      <b/>
      <sz val="10.0"/>
      <color rgb="FFFFFFFF"/>
      <name val="Arial"/>
      <scheme val="minor"/>
    </font>
  </fonts>
  <fills count="32">
    <fill>
      <patternFill patternType="none"/>
    </fill>
    <fill>
      <patternFill patternType="lightGray"/>
    </fill>
    <fill>
      <patternFill patternType="solid">
        <fgColor rgb="FF1A3557"/>
        <bgColor rgb="FF1A3557"/>
      </patternFill>
    </fill>
    <fill>
      <patternFill patternType="solid">
        <fgColor rgb="FFD1E7DD"/>
        <bgColor rgb="FFD1E7DD"/>
      </patternFill>
    </fill>
    <fill>
      <patternFill patternType="solid">
        <fgColor rgb="FFF7D6D8"/>
        <bgColor rgb="FFF7D6D8"/>
      </patternFill>
    </fill>
    <fill>
      <patternFill patternType="solid">
        <fgColor rgb="FFFFE4D0"/>
        <bgColor rgb="FFFFE4D0"/>
      </patternFill>
    </fill>
    <fill>
      <patternFill patternType="solid">
        <fgColor rgb="FFCCE4FF"/>
        <bgColor rgb="FFCCE4FF"/>
      </patternFill>
    </fill>
    <fill>
      <patternFill patternType="solid">
        <fgColor rgb="FFFFFFFF"/>
        <bgColor rgb="FFFFFFFF"/>
      </patternFill>
    </fill>
    <fill>
      <patternFill patternType="solid">
        <fgColor rgb="FFEDF4FC"/>
        <bgColor rgb="FFEDF4FC"/>
      </patternFill>
    </fill>
    <fill>
      <patternFill patternType="solid">
        <fgColor rgb="FFFFF2CC"/>
        <bgColor rgb="FFFFF2CC"/>
      </patternFill>
    </fill>
    <fill>
      <patternFill patternType="solid">
        <fgColor rgb="FFF3F3F3"/>
        <bgColor rgb="FFF3F3F3"/>
      </patternFill>
    </fill>
    <fill>
      <patternFill patternType="solid">
        <fgColor rgb="FFF9F9F9"/>
        <bgColor rgb="FFF9F9F9"/>
      </patternFill>
    </fill>
    <fill>
      <patternFill patternType="solid">
        <fgColor rgb="FFEFEFEF"/>
        <bgColor rgb="FFEFEFEF"/>
      </patternFill>
    </fill>
    <fill>
      <patternFill patternType="solid">
        <fgColor rgb="FF1A3556"/>
        <bgColor rgb="FF1A3556"/>
      </patternFill>
    </fill>
    <fill>
      <patternFill patternType="solid">
        <fgColor rgb="FF204776"/>
        <bgColor rgb="FF204776"/>
      </patternFill>
    </fill>
    <fill>
      <patternFill patternType="solid">
        <fgColor rgb="FFD7E2F8"/>
        <bgColor rgb="FFD7E2F8"/>
      </patternFill>
    </fill>
    <fill>
      <patternFill patternType="solid">
        <fgColor rgb="FFF4F7FB"/>
        <bgColor rgb="FFF4F7FB"/>
      </patternFill>
    </fill>
    <fill>
      <patternFill patternType="solid">
        <fgColor rgb="FFECEFF5"/>
        <bgColor rgb="FFECEFF5"/>
      </patternFill>
    </fill>
    <fill>
      <patternFill patternType="solid">
        <fgColor rgb="FF1B365D"/>
        <bgColor rgb="FF1B365D"/>
      </patternFill>
    </fill>
    <fill>
      <patternFill patternType="solid">
        <fgColor rgb="FF284974"/>
        <bgColor rgb="FF284974"/>
      </patternFill>
    </fill>
    <fill>
      <patternFill patternType="solid">
        <fgColor rgb="FFD8EAD3"/>
        <bgColor rgb="FFD8EAD3"/>
      </patternFill>
    </fill>
    <fill>
      <patternFill patternType="solid">
        <fgColor rgb="FFCEE2F2"/>
        <bgColor rgb="FFCEE2F2"/>
      </patternFill>
    </fill>
    <fill>
      <patternFill patternType="solid">
        <fgColor rgb="FFEAF4E8"/>
        <bgColor rgb="FFEAF4E8"/>
      </patternFill>
    </fill>
    <fill>
      <patternFill patternType="solid">
        <fgColor rgb="FFE5EFF9"/>
        <bgColor rgb="FFE5EFF9"/>
      </patternFill>
    </fill>
    <fill>
      <patternFill patternType="solid">
        <fgColor rgb="FFF7F7F7"/>
        <bgColor rgb="FFF7F7F7"/>
      </patternFill>
    </fill>
    <fill>
      <patternFill patternType="solid">
        <fgColor rgb="FFE8EBEE"/>
        <bgColor rgb="FFE8EBEE"/>
      </patternFill>
    </fill>
    <fill>
      <patternFill patternType="solid">
        <fgColor rgb="FFF7F8F9"/>
        <bgColor rgb="FFF7F8F9"/>
      </patternFill>
    </fill>
    <fill>
      <patternFill patternType="solid">
        <fgColor rgb="FFE5F4E5"/>
        <bgColor rgb="FFE5F4E5"/>
      </patternFill>
    </fill>
    <fill>
      <patternFill patternType="solid">
        <fgColor rgb="FFF2F4F7"/>
        <bgColor rgb="FFF2F4F7"/>
      </patternFill>
    </fill>
    <fill>
      <patternFill patternType="solid">
        <fgColor rgb="FF1E883F"/>
        <bgColor rgb="FF1E883F"/>
      </patternFill>
    </fill>
    <fill>
      <patternFill patternType="solid">
        <fgColor rgb="FF2C4D75"/>
        <bgColor rgb="FF2C4D75"/>
      </patternFill>
    </fill>
    <fill>
      <patternFill patternType="solid">
        <fgColor rgb="FF666666"/>
        <bgColor rgb="FF666666"/>
      </patternFill>
    </fill>
  </fills>
  <borders count="102">
    <border/>
    <border>
      <left style="medium">
        <color rgb="FFA3CEBA"/>
      </left>
      <top style="medium">
        <color rgb="FFA3CEBA"/>
      </top>
    </border>
    <border>
      <right style="medium">
        <color rgb="FFA3CEBA"/>
      </right>
      <top style="medium">
        <color rgb="FFA3CEBA"/>
      </top>
    </border>
    <border>
      <left style="medium">
        <color rgb="FFF0ADB5"/>
      </left>
      <top style="medium">
        <color rgb="FFF0ADB5"/>
      </top>
    </border>
    <border>
      <right style="medium">
        <color rgb="FFF0ADB5"/>
      </right>
      <top style="medium">
        <color rgb="FFF0ADB5"/>
      </top>
    </border>
    <border>
      <left style="medium">
        <color rgb="FFFFC106"/>
      </left>
      <top style="medium">
        <color rgb="FFFFC106"/>
      </top>
    </border>
    <border>
      <right style="medium">
        <color rgb="FFFFC106"/>
      </right>
      <top style="medium">
        <color rgb="FFFFC106"/>
      </top>
    </border>
    <border>
      <left style="medium">
        <color rgb="FFB7DAFF"/>
      </left>
      <top style="medium">
        <color rgb="FFB7DAFF"/>
      </top>
    </border>
    <border>
      <right style="medium">
        <color rgb="FFB7DAFF"/>
      </right>
      <top style="medium">
        <color rgb="FFB7DAFF"/>
      </top>
    </border>
    <border>
      <left style="medium">
        <color rgb="FFA3CEBA"/>
      </left>
    </border>
    <border>
      <right style="medium">
        <color rgb="FFA3CEBA"/>
      </right>
    </border>
    <border>
      <left style="medium">
        <color rgb="FFF0ADB5"/>
      </left>
    </border>
    <border>
      <right style="medium">
        <color rgb="FFF0ADB5"/>
      </right>
    </border>
    <border>
      <left style="medium">
        <color rgb="FFFFC106"/>
      </left>
    </border>
    <border>
      <right style="medium">
        <color rgb="FFFFC106"/>
      </right>
    </border>
    <border>
      <left style="medium">
        <color rgb="FFB7DAFF"/>
      </left>
    </border>
    <border>
      <right style="medium">
        <color rgb="FFB7DAFF"/>
      </right>
    </border>
    <border>
      <left>
        <color rgb="FF000000"/>
      </left>
      <right>
        <color rgb="FF000000"/>
      </right>
      <top>
        <color rgb="FF000000"/>
      </top>
      <bottom>
        <color rgb="FF000000"/>
      </bottom>
    </border>
    <border>
      <left style="medium">
        <color rgb="FFA3CEBA"/>
      </left>
      <bottom style="medium">
        <color rgb="FFA3CEBA"/>
      </bottom>
    </border>
    <border>
      <right style="medium">
        <color rgb="FFA3CEBA"/>
      </right>
      <bottom style="medium">
        <color rgb="FFA3CEBA"/>
      </bottom>
    </border>
    <border>
      <left style="medium">
        <color rgb="FFF0ADB5"/>
      </left>
      <bottom style="medium">
        <color rgb="FFF0ADB5"/>
      </bottom>
    </border>
    <border>
      <right style="medium">
        <color rgb="FFF0ADB5"/>
      </right>
      <bottom style="medium">
        <color rgb="FFF0ADB5"/>
      </bottom>
    </border>
    <border>
      <left style="medium">
        <color rgb="FFFFC106"/>
      </left>
      <bottom style="medium">
        <color rgb="FFFFC106"/>
      </bottom>
    </border>
    <border>
      <right style="medium">
        <color rgb="FFFFC106"/>
      </right>
      <bottom style="medium">
        <color rgb="FFFFC106"/>
      </bottom>
    </border>
    <border>
      <left style="medium">
        <color rgb="FFB7DAFF"/>
      </left>
      <bottom style="medium">
        <color rgb="FFB7DAFF"/>
      </bottom>
    </border>
    <border>
      <right style="medium">
        <color rgb="FFB7DAFF"/>
      </right>
      <bottom style="medium">
        <color rgb="FFB7DAFF"/>
      </bottom>
    </border>
    <border>
      <left style="thin">
        <color rgb="FFCCCCCC"/>
      </left>
      <right style="thin">
        <color rgb="FFE5E5E5"/>
      </right>
      <top style="thin">
        <color rgb="FFCCCCCC"/>
      </top>
      <bottom style="thin">
        <color rgb="FFE5E5E5"/>
      </bottom>
    </border>
    <border>
      <left style="thin">
        <color rgb="FFE5E5E5"/>
      </left>
      <right style="thin">
        <color rgb="FFE5E5E5"/>
      </right>
      <top style="thin">
        <color rgb="FFCCCCCC"/>
      </top>
      <bottom style="thin">
        <color rgb="FFE5E5E5"/>
      </bottom>
    </border>
    <border>
      <left style="thin">
        <color rgb="FFE5E5E5"/>
      </left>
      <right style="thin">
        <color rgb="FFCCCCCC"/>
      </right>
      <top style="thin">
        <color rgb="FFCCCCCC"/>
      </top>
      <bottom style="thin">
        <color rgb="FFE5E5E5"/>
      </bottom>
    </border>
    <border>
      <left style="thin">
        <color rgb="FFCCCCCC"/>
      </left>
      <right style="thin">
        <color rgb="FFE5E5E5"/>
      </right>
      <top style="thin">
        <color rgb="FFE5E5E5"/>
      </top>
      <bottom style="thin">
        <color rgb="FFE5E5E5"/>
      </bottom>
    </border>
    <border>
      <left style="thin">
        <color rgb="FFE5E5E5"/>
      </left>
      <right style="thin">
        <color rgb="FFE5E5E5"/>
      </right>
      <top style="thin">
        <color rgb="FFE5E5E5"/>
      </top>
      <bottom style="thin">
        <color rgb="FFE5E5E5"/>
      </bottom>
    </border>
    <border>
      <left style="thin">
        <color rgb="FFE5E5E5"/>
      </left>
      <right style="thin">
        <color rgb="FFCCCCCC"/>
      </right>
      <top style="thin">
        <color rgb="FFE5E5E5"/>
      </top>
      <bottom style="thin">
        <color rgb="FFE5E5E5"/>
      </bottom>
    </border>
    <border>
      <left style="thin">
        <color rgb="FFCCCCCC"/>
      </left>
      <right style="thin">
        <color rgb="FFE5E5E5"/>
      </right>
      <top style="thin">
        <color rgb="FFE5E5E5"/>
      </top>
      <bottom style="thin">
        <color rgb="FFCCCCCC"/>
      </bottom>
    </border>
    <border>
      <left style="thin">
        <color rgb="FFE5E5E5"/>
      </left>
      <right style="thin">
        <color rgb="FFE5E5E5"/>
      </right>
      <top style="thin">
        <color rgb="FFE5E5E5"/>
      </top>
      <bottom style="thin">
        <color rgb="FFCCCCCC"/>
      </bottom>
    </border>
    <border>
      <left style="thin">
        <color rgb="FFE5E5E5"/>
      </left>
      <right style="thin">
        <color rgb="FFCCCCCC"/>
      </right>
      <top style="thin">
        <color rgb="FFE5E5E5"/>
      </top>
      <bottom style="thin">
        <color rgb="FFCCCCCC"/>
      </bottom>
    </border>
    <border>
      <left style="double">
        <color rgb="FF1A3557"/>
      </left>
      <right style="double">
        <color rgb="FF1A3557"/>
      </right>
      <top style="double">
        <color rgb="FF1A3557"/>
      </top>
      <bottom style="thin">
        <color rgb="FFCCCCCC"/>
      </bottom>
    </border>
    <border>
      <left style="double">
        <color rgb="FF1A3557"/>
      </left>
      <right style="double">
        <color rgb="FF1A3557"/>
      </right>
      <top style="thin">
        <color rgb="FFCCCCCC"/>
      </top>
      <bottom style="thin">
        <color rgb="FFCCCCCC"/>
      </bottom>
    </border>
    <border>
      <left style="double">
        <color rgb="FF1A3557"/>
      </left>
      <right style="double">
        <color rgb="FF1A3557"/>
      </right>
      <top style="thin">
        <color rgb="FFCCCCCC"/>
      </top>
      <bottom style="double">
        <color rgb="FF1A3557"/>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rder>
    <border>
      <right style="thin">
        <color rgb="FFB2B2B2"/>
      </right>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B2B2B2"/>
      </left>
      <right style="thin">
        <color rgb="FFCCCCCC"/>
      </right>
      <top style="thin">
        <color rgb="FFB2B2B2"/>
      </top>
      <bottom style="thin">
        <color rgb="FFCCCCCC"/>
      </bottom>
    </border>
    <border>
      <left style="thin">
        <color rgb="FFCCCCCC"/>
      </left>
      <right style="thin">
        <color rgb="FFB2B2B2"/>
      </right>
      <top style="thin">
        <color rgb="FFB2B2B2"/>
      </top>
      <bottom style="thin">
        <color rgb="FFCCCCCC"/>
      </bottom>
    </border>
    <border>
      <left style="thin">
        <color rgb="FFB2B2B2"/>
      </left>
      <right style="thin">
        <color rgb="FFCCCCCC"/>
      </right>
      <top style="thin">
        <color rgb="FFCCCCCC"/>
      </top>
      <bottom style="thin">
        <color rgb="FFCCCCCC"/>
      </bottom>
    </border>
    <border>
      <left style="thin">
        <color rgb="FFCCCCCC"/>
      </left>
      <right style="thin">
        <color rgb="FFB2B2B2"/>
      </right>
      <top style="thin">
        <color rgb="FFCCCCCC"/>
      </top>
      <bottom style="thin">
        <color rgb="FFCCCCCC"/>
      </bottom>
    </border>
    <border>
      <left style="thin">
        <color rgb="FFB2B2B2"/>
      </left>
      <right style="thin">
        <color rgb="FFCCCCCC"/>
      </right>
      <top style="thin">
        <color rgb="FFCCCCCC"/>
      </top>
      <bottom style="thin">
        <color rgb="FFB2B2B2"/>
      </bottom>
    </border>
    <border>
      <left style="thin">
        <color rgb="FFCCCCCC"/>
      </left>
      <right style="thin">
        <color rgb="FFB2B2B2"/>
      </right>
      <top style="thin">
        <color rgb="FFCCCCCC"/>
      </top>
      <bottom style="thin">
        <color rgb="FFB2B2B2"/>
      </bottom>
    </border>
    <border>
      <left style="thin">
        <color rgb="FFC2C7D4"/>
      </left>
      <right style="thin">
        <color rgb="FFD8DDE5"/>
      </right>
      <top style="thin">
        <color rgb="FFC2C7D4"/>
      </top>
      <bottom style="thin">
        <color rgb="FFD8DDE5"/>
      </bottom>
    </border>
    <border>
      <left style="thin">
        <color rgb="FFD8DDE5"/>
      </left>
      <right style="thin">
        <color rgb="FFD8DDE5"/>
      </right>
      <top style="thin">
        <color rgb="FFC2C7D4"/>
      </top>
      <bottom style="thin">
        <color rgb="FFD8DDE5"/>
      </bottom>
    </border>
    <border>
      <left style="thin">
        <color rgb="FFD8DDE5"/>
      </left>
      <right style="thin">
        <color rgb="FFC2C7D4"/>
      </right>
      <top style="thin">
        <color rgb="FFC2C7D4"/>
      </top>
      <bottom style="thin">
        <color rgb="FFD8DDE5"/>
      </bottom>
    </border>
    <border>
      <left style="thin">
        <color rgb="FFC2C7D4"/>
      </left>
      <right style="thin">
        <color rgb="FFD8DDE5"/>
      </right>
      <top style="thin">
        <color rgb="FFD8DDE5"/>
      </top>
      <bottom style="thin">
        <color rgb="FFD8DDE5"/>
      </bottom>
    </border>
    <border>
      <left style="thin">
        <color rgb="FFD8DDE5"/>
      </left>
      <right style="thin">
        <color rgb="FFD8DDE5"/>
      </right>
      <top style="thin">
        <color rgb="FFD8DDE5"/>
      </top>
      <bottom style="thin">
        <color rgb="FFD8DDE5"/>
      </bottom>
    </border>
    <border>
      <left style="thin">
        <color rgb="FFD8DDE5"/>
      </left>
      <right style="thin">
        <color rgb="FFC2C7D4"/>
      </right>
      <top style="thin">
        <color rgb="FFD8DDE5"/>
      </top>
      <bottom style="thin">
        <color rgb="FFD8DDE5"/>
      </bottom>
    </border>
    <border>
      <left style="thin">
        <color rgb="FFC2C7D4"/>
      </left>
      <right style="thin">
        <color rgb="FFD8DDE5"/>
      </right>
      <top style="thin">
        <color rgb="FFD8DDE5"/>
      </top>
      <bottom style="thin">
        <color rgb="FFC2C7D4"/>
      </bottom>
    </border>
    <border>
      <left style="thin">
        <color rgb="FFD8DDE5"/>
      </left>
      <right style="thin">
        <color rgb="FFD8DDE5"/>
      </right>
      <top style="thin">
        <color rgb="FFD8DDE5"/>
      </top>
      <bottom style="thin">
        <color rgb="FFC2C7D4"/>
      </bottom>
    </border>
    <border>
      <left style="thin">
        <color rgb="FFD8DDE5"/>
      </left>
      <right style="thin">
        <color rgb="FFC2C7D4"/>
      </right>
      <top style="thin">
        <color rgb="FFD8DDE5"/>
      </top>
      <bottom style="thin">
        <color rgb="FFC2C7D4"/>
      </bottom>
    </border>
    <border>
      <left style="thin">
        <color rgb="FFC2C7D4"/>
      </left>
      <top style="thin">
        <color rgb="FFC2C7D4"/>
      </top>
      <bottom style="thin">
        <color rgb="FFC2C7D4"/>
      </bottom>
    </border>
    <border>
      <top style="thin">
        <color rgb="FFC2C7D4"/>
      </top>
      <bottom style="thin">
        <color rgb="FFC2C7D4"/>
      </bottom>
    </border>
    <border>
      <right style="thin">
        <color rgb="FFC2C7D4"/>
      </right>
      <top style="thin">
        <color rgb="FFC2C7D4"/>
      </top>
      <bottom style="thin">
        <color rgb="FFC2C7D4"/>
      </bottom>
    </border>
    <border>
      <left style="thin">
        <color rgb="FFB2CCB2"/>
      </left>
      <top style="thin">
        <color rgb="FFB2CCB2"/>
      </top>
      <bottom style="thin">
        <color rgb="FFCCD8CC"/>
      </bottom>
    </border>
    <border>
      <right style="thin">
        <color rgb="FFB2CCB2"/>
      </right>
      <top style="thin">
        <color rgb="FFB2CCB2"/>
      </top>
      <bottom style="thin">
        <color rgb="FFCCD8CC"/>
      </bottom>
    </border>
    <border>
      <left style="thin">
        <color rgb="FFB2CCE5"/>
      </left>
      <top style="thin">
        <color rgb="FFB2CCE5"/>
      </top>
      <bottom style="thin">
        <color rgb="FFCCD8EA"/>
      </bottom>
    </border>
    <border>
      <right style="thin">
        <color rgb="FFB2CCE5"/>
      </right>
      <top style="thin">
        <color rgb="FFB2CCE5"/>
      </top>
      <bottom style="thin">
        <color rgb="FFCCD8EA"/>
      </bottom>
    </border>
    <border>
      <left style="thin">
        <color rgb="FFCCCCCC"/>
      </left>
      <top style="thin">
        <color rgb="FFCCCCCC"/>
      </top>
      <bottom style="thin">
        <color rgb="FFD8D8D8"/>
      </bottom>
    </border>
    <border>
      <right style="thin">
        <color rgb="FFCCCCCC"/>
      </right>
      <top style="thin">
        <color rgb="FFCCCCCC"/>
      </top>
      <bottom style="thin">
        <color rgb="FFD8D8D8"/>
      </bottom>
    </border>
    <border>
      <left style="thin">
        <color rgb="FFB2CCB2"/>
      </left>
      <top style="thin">
        <color rgb="FFCCD8CC"/>
      </top>
      <bottom style="thin">
        <color rgb="FFB2CCB2"/>
      </bottom>
    </border>
    <border>
      <right style="thin">
        <color rgb="FFB2CCB2"/>
      </right>
      <top style="thin">
        <color rgb="FFCCD8CC"/>
      </top>
      <bottom style="thin">
        <color rgb="FFB2CCB2"/>
      </bottom>
    </border>
    <border>
      <left style="thin">
        <color rgb="FFB2CCE5"/>
      </left>
      <top style="thin">
        <color rgb="FFCCD8EA"/>
      </top>
      <bottom style="thin">
        <color rgb="FFB2CCE5"/>
      </bottom>
    </border>
    <border>
      <right style="thin">
        <color rgb="FFB2CCE5"/>
      </right>
      <top style="thin">
        <color rgb="FFCCD8EA"/>
      </top>
      <bottom style="thin">
        <color rgb="FFB2CCE5"/>
      </bottom>
    </border>
    <border>
      <left style="thin">
        <color rgb="FFCCCCCC"/>
      </left>
      <top style="thin">
        <color rgb="FFD8D8D8"/>
      </top>
      <bottom style="thin">
        <color rgb="FFCCCCCC"/>
      </bottom>
    </border>
    <border>
      <right style="thin">
        <color rgb="FFCCCCCC"/>
      </right>
      <top style="thin">
        <color rgb="FFD8D8D8"/>
      </top>
      <bottom style="thin">
        <color rgb="FFCCCCCC"/>
      </bottom>
    </border>
    <border>
      <left style="thin">
        <color rgb="FFB2B2B2"/>
      </left>
      <top style="thin">
        <color rgb="FFB2B2B2"/>
      </top>
      <bottom style="thin">
        <color rgb="FFD8D8D8"/>
      </bottom>
    </border>
    <border>
      <right style="thin">
        <color rgb="FFB2B2B2"/>
      </right>
      <top style="thin">
        <color rgb="FFB2B2B2"/>
      </top>
      <bottom style="thin">
        <color rgb="FFD8D8D8"/>
      </bottom>
    </border>
    <border>
      <left style="thin">
        <color rgb="FFB2B2B2"/>
      </left>
      <top style="thin">
        <color rgb="FFB2B2B2"/>
      </top>
      <bottom style="thin">
        <color rgb="FFE0E0E0"/>
      </bottom>
    </border>
    <border>
      <top style="thin">
        <color rgb="FFB2B2B2"/>
      </top>
      <bottom style="thin">
        <color rgb="FFE0E0E0"/>
      </bottom>
    </border>
    <border>
      <right style="thin">
        <color rgb="FFB2B2B2"/>
      </right>
      <top style="thin">
        <color rgb="FFB2B2B2"/>
      </top>
      <bottom style="thin">
        <color rgb="FFE0E0E0"/>
      </bottom>
    </border>
    <border>
      <left style="thin">
        <color rgb="FFB2B2B2"/>
      </left>
      <right style="thin">
        <color rgb="FFD8D8D8"/>
      </right>
      <top style="thin">
        <color rgb="FFD8D8D8"/>
      </top>
      <bottom style="thin">
        <color rgb="FFD8D8D8"/>
      </bottom>
    </border>
    <border>
      <left style="thin">
        <color rgb="FFD8D8D8"/>
      </left>
      <right style="thin">
        <color rgb="FFB2B2B2"/>
      </right>
      <top style="thin">
        <color rgb="FFD8D8D8"/>
      </top>
      <bottom style="thin">
        <color rgb="FFD8D8D8"/>
      </bottom>
    </border>
    <border>
      <left style="thin">
        <color rgb="FFB2B2B2"/>
      </left>
      <right style="thin">
        <color rgb="FFE0E0E0"/>
      </right>
      <top style="thin">
        <color rgb="FFE0E0E0"/>
      </top>
      <bottom style="thin">
        <color rgb="FFE0E0E0"/>
      </bottom>
    </border>
    <border>
      <left style="thin">
        <color rgb="FFE0E0E0"/>
      </left>
      <top style="thin">
        <color rgb="FFE0E0E0"/>
      </top>
      <bottom style="thin">
        <color rgb="FFE0E0E0"/>
      </bottom>
    </border>
    <border>
      <top style="thin">
        <color rgb="FFE0E0E0"/>
      </top>
      <bottom style="thin">
        <color rgb="FFE0E0E0"/>
      </bottom>
    </border>
    <border>
      <right style="thin">
        <color rgb="FFB2B2B2"/>
      </right>
      <top style="thin">
        <color rgb="FFE0E0E0"/>
      </top>
      <bottom style="thin">
        <color rgb="FFE0E0E0"/>
      </bottom>
    </border>
    <border>
      <left style="thin">
        <color rgb="FFB2B2B2"/>
      </left>
      <right style="thin">
        <color rgb="FFE0E0E0"/>
      </right>
      <top style="thin">
        <color rgb="FFE0E0E0"/>
      </top>
      <bottom style="thin">
        <color rgb="FFB2B2B2"/>
      </bottom>
    </border>
    <border>
      <left style="thin">
        <color rgb="FFE0E0E0"/>
      </left>
      <top style="thin">
        <color rgb="FFE0E0E0"/>
      </top>
      <bottom style="thin">
        <color rgb="FFB2B2B2"/>
      </bottom>
    </border>
    <border>
      <top style="thin">
        <color rgb="FFE0E0E0"/>
      </top>
      <bottom style="thin">
        <color rgb="FFB2B2B2"/>
      </bottom>
    </border>
    <border>
      <right style="thin">
        <color rgb="FFB2B2B2"/>
      </right>
      <top style="thin">
        <color rgb="FFE0E0E0"/>
      </top>
      <bottom style="thin">
        <color rgb="FFB2B2B2"/>
      </bottom>
    </border>
    <border>
      <left style="thin">
        <color rgb="FFB2B2B2"/>
      </left>
      <right style="thin">
        <color rgb="FFD8D8D8"/>
      </right>
      <top style="thin">
        <color rgb="FFD8D8D8"/>
      </top>
    </border>
    <border>
      <left style="thin">
        <color rgb="FFD8D8D8"/>
      </left>
      <right style="thin">
        <color rgb="FFB2B2B2"/>
      </right>
      <top style="thin">
        <color rgb="FFD8D8D8"/>
      </top>
    </border>
    <border>
      <left style="thin">
        <color rgb="FF14662D"/>
      </left>
      <top style="thin">
        <color rgb="FF14662D"/>
      </top>
      <bottom style="thin">
        <color rgb="FF14662D"/>
      </bottom>
    </border>
    <border>
      <right style="thin">
        <color rgb="FF14662D"/>
      </right>
      <top style="thin">
        <color rgb="FF14662D"/>
      </top>
      <bottom style="thin">
        <color rgb="FF14662D"/>
      </bottom>
    </border>
    <border>
      <left style="thin">
        <color rgb="FFB2B2B2"/>
      </left>
      <bottom style="thin">
        <color rgb="FFE0E0E0"/>
      </bottom>
    </border>
    <border>
      <bottom style="thin">
        <color rgb="FFE0E0E0"/>
      </bottom>
    </border>
    <border>
      <right style="thin">
        <color rgb="FFB2B2B2"/>
      </right>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B2B2B2"/>
      </right>
      <top style="thin">
        <color rgb="FFE0E0E0"/>
      </top>
      <bottom style="thin">
        <color rgb="FFE0E0E0"/>
      </bottom>
    </border>
    <border>
      <left style="thin">
        <color rgb="FFE0E0E0"/>
      </left>
      <right style="thin">
        <color rgb="FFE0E0E0"/>
      </right>
      <top style="thin">
        <color rgb="FFE0E0E0"/>
      </top>
      <bottom style="thin">
        <color rgb="FFB2B2B2"/>
      </bottom>
    </border>
    <border>
      <left style="thin">
        <color rgb="FFE0E0E0"/>
      </left>
      <right style="thin">
        <color rgb="FFB2B2B2"/>
      </right>
      <top style="thin">
        <color rgb="FFE0E0E0"/>
      </top>
      <bottom style="thin">
        <color rgb="FFB2B2B2"/>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Alignment="1" applyBorder="1" applyFill="1" applyFont="1">
      <alignment horizontal="center" readingOrder="0" vertical="bottom"/>
    </xf>
    <xf borderId="2" fillId="0" fontId="3" numFmtId="0" xfId="0" applyBorder="1" applyFont="1"/>
    <xf borderId="3" fillId="4" fontId="4" numFmtId="0" xfId="0" applyAlignment="1" applyBorder="1" applyFill="1" applyFont="1">
      <alignment horizontal="center" readingOrder="0" vertical="bottom"/>
    </xf>
    <xf borderId="4" fillId="0" fontId="3" numFmtId="0" xfId="0" applyBorder="1" applyFont="1"/>
    <xf borderId="5" fillId="5" fontId="5" numFmtId="0" xfId="0" applyAlignment="1" applyBorder="1" applyFill="1" applyFont="1">
      <alignment horizontal="center" readingOrder="0" vertical="bottom"/>
    </xf>
    <xf borderId="6" fillId="0" fontId="3" numFmtId="0" xfId="0" applyBorder="1" applyFont="1"/>
    <xf borderId="7" fillId="6" fontId="6" numFmtId="0" xfId="0" applyAlignment="1" applyBorder="1" applyFill="1" applyFont="1">
      <alignment horizontal="center" readingOrder="0" vertical="bottom"/>
    </xf>
    <xf borderId="8" fillId="0" fontId="3" numFmtId="0" xfId="0" applyBorder="1" applyFont="1"/>
    <xf borderId="9" fillId="3" fontId="7" numFmtId="0" xfId="0" applyAlignment="1" applyBorder="1" applyFill="1" applyFont="1">
      <alignment horizontal="center" vertical="center"/>
    </xf>
    <xf borderId="10" fillId="0" fontId="3" numFmtId="0" xfId="0" applyBorder="1" applyFont="1"/>
    <xf borderId="11" fillId="4" fontId="8" numFmtId="0" xfId="0" applyAlignment="1" applyBorder="1" applyFill="1" applyFont="1">
      <alignment horizontal="center" vertical="center"/>
    </xf>
    <xf borderId="0" fillId="2" fontId="9" numFmtId="0" xfId="0" applyAlignment="1" applyFill="1" applyFont="1">
      <alignment horizontal="center" readingOrder="0" shrinkToFit="0" vertical="center" wrapText="1"/>
    </xf>
    <xf borderId="12" fillId="0" fontId="3" numFmtId="0" xfId="0" applyBorder="1" applyFont="1"/>
    <xf borderId="0" fillId="2" fontId="9" numFmtId="0" xfId="0" applyAlignment="1" applyFill="1" applyFont="1">
      <alignment horizontal="center" readingOrder="0" shrinkToFit="0" vertical="center" wrapText="1"/>
    </xf>
    <xf borderId="13" fillId="5" fontId="10" numFmtId="0" xfId="0" applyAlignment="1" applyBorder="1" applyFill="1" applyFont="1">
      <alignment horizontal="center" vertical="center"/>
    </xf>
    <xf borderId="0" fillId="2" fontId="9" numFmtId="3" xfId="0" applyAlignment="1" applyFill="1" applyFont="1" applyNumberFormat="1">
      <alignment horizontal="center" readingOrder="0" shrinkToFit="0" vertical="center" wrapText="1"/>
    </xf>
    <xf borderId="14" fillId="0" fontId="3" numFmtId="0" xfId="0" applyBorder="1" applyFont="1"/>
    <xf borderId="0" fillId="0" fontId="11" numFmtId="164" xfId="0" applyAlignment="1" applyFont="1" applyNumberFormat="1">
      <alignment horizontal="center" readingOrder="0"/>
    </xf>
    <xf borderId="0" fillId="0" fontId="12" numFmtId="0" xfId="0" applyAlignment="1" applyFont="1">
      <alignment vertical="center"/>
    </xf>
    <xf borderId="0" fillId="0" fontId="12" numFmtId="0" xfId="0" applyFont="1"/>
    <xf borderId="0" fillId="0" fontId="11" numFmtId="0" xfId="0" applyAlignment="1" applyFont="1">
      <alignment vertical="center"/>
    </xf>
    <xf borderId="15" fillId="6" fontId="13" numFmtId="0" xfId="0" applyAlignment="1" applyBorder="1" applyFill="1" applyFont="1">
      <alignment horizontal="center" vertical="center"/>
    </xf>
    <xf borderId="0" fillId="0" fontId="11" numFmtId="0" xfId="0" applyAlignment="1" applyFont="1">
      <alignment readingOrder="0"/>
    </xf>
    <xf borderId="16" fillId="0" fontId="3" numFmtId="0" xfId="0" applyBorder="1" applyFont="1"/>
    <xf borderId="0" fillId="7" fontId="14" numFmtId="0" xfId="0" applyAlignment="1" applyFill="1" applyFont="1">
      <alignment readingOrder="0" vertical="center"/>
    </xf>
    <xf borderId="0" fillId="0" fontId="11" numFmtId="3" xfId="0" applyAlignment="1" applyFont="1" applyNumberFormat="1">
      <alignment horizontal="right" readingOrder="0"/>
    </xf>
    <xf borderId="17" fillId="7" fontId="14" numFmtId="0" xfId="0" applyAlignment="1" applyBorder="1" applyFill="1" applyFont="1">
      <alignment readingOrder="0" vertical="center"/>
    </xf>
    <xf borderId="0" fillId="0" fontId="14" numFmtId="0" xfId="0" applyAlignment="1" applyFont="1">
      <alignment readingOrder="0" vertical="center"/>
    </xf>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0" fillId="0" fontId="15" numFmtId="0" xfId="0" applyAlignment="1" applyFont="1">
      <alignment readingOrder="0" vertical="center"/>
    </xf>
    <xf borderId="26" fillId="2" fontId="9" numFmtId="0" xfId="0" applyAlignment="1" applyBorder="1" applyFill="1" applyFont="1">
      <alignment horizontal="center" vertical="center"/>
    </xf>
    <xf borderId="27" fillId="2" fontId="9" numFmtId="0" xfId="0" applyAlignment="1" applyBorder="1" applyFill="1" applyFont="1">
      <alignment horizontal="center" vertical="center"/>
    </xf>
    <xf borderId="28" fillId="2" fontId="9" numFmtId="0" xfId="0" applyAlignment="1" applyBorder="1" applyFill="1" applyFont="1">
      <alignment horizontal="center" vertical="center"/>
    </xf>
    <xf borderId="29" fillId="0" fontId="11" numFmtId="0" xfId="0" applyAlignment="1" applyBorder="1" applyFont="1">
      <alignment horizontal="center" vertical="center"/>
    </xf>
    <xf borderId="30" fillId="0" fontId="11" numFmtId="0" xfId="0" applyAlignment="1" applyBorder="1" applyFont="1">
      <alignment horizontal="center" vertical="center"/>
    </xf>
    <xf borderId="31" fillId="0" fontId="11" numFmtId="0" xfId="0" applyAlignment="1" applyBorder="1" applyFont="1">
      <alignment horizontal="center" vertical="center"/>
    </xf>
    <xf borderId="32" fillId="0" fontId="11" numFmtId="0" xfId="0" applyAlignment="1" applyBorder="1" applyFont="1">
      <alignment horizontal="center" vertical="center"/>
    </xf>
    <xf borderId="33" fillId="0" fontId="11" numFmtId="0" xfId="0" applyAlignment="1" applyBorder="1" applyFont="1">
      <alignment horizontal="center" vertical="center"/>
    </xf>
    <xf borderId="34" fillId="0" fontId="11" numFmtId="0" xfId="0" applyAlignment="1" applyBorder="1" applyFont="1">
      <alignment horizontal="center" vertical="center"/>
    </xf>
    <xf borderId="0" fillId="0" fontId="11" numFmtId="0" xfId="0" applyAlignment="1" applyFont="1">
      <alignment horizontal="center" vertical="center"/>
    </xf>
    <xf borderId="0" fillId="7" fontId="14" numFmtId="0" xfId="0" applyAlignment="1" applyBorder="1" applyFill="1" applyFont="1">
      <alignment readingOrder="0" vertical="center"/>
    </xf>
    <xf borderId="0" fillId="0" fontId="11" numFmtId="0" xfId="0" applyFont="1"/>
    <xf borderId="0" fillId="0" fontId="16" numFmtId="0" xfId="0" applyAlignment="1" applyFont="1">
      <alignment horizontal="right" readingOrder="0"/>
    </xf>
    <xf borderId="0" fillId="7" fontId="14" numFmtId="0" xfId="0" applyAlignment="1" applyFill="1" applyFont="1">
      <alignment readingOrder="0" vertical="center"/>
    </xf>
    <xf borderId="0" fillId="0" fontId="16" numFmtId="0" xfId="0" applyAlignment="1" applyFont="1">
      <alignment horizontal="left"/>
    </xf>
    <xf borderId="0" fillId="7" fontId="14" numFmtId="0" xfId="0" applyAlignment="1" applyFill="1" applyFont="1">
      <alignment readingOrder="0" vertical="center"/>
    </xf>
    <xf borderId="0" fillId="0" fontId="14" numFmtId="0" xfId="0" applyAlignment="1" applyFont="1">
      <alignment vertical="center"/>
    </xf>
    <xf borderId="0" fillId="8" fontId="14" numFmtId="0" xfId="0" applyAlignment="1" applyFill="1" applyFont="1">
      <alignment readingOrder="0" vertical="center"/>
    </xf>
    <xf borderId="17" fillId="8" fontId="14" numFmtId="0" xfId="0" applyAlignment="1" applyBorder="1" applyFill="1" applyFont="1">
      <alignment readingOrder="0" vertical="center"/>
    </xf>
    <xf borderId="0" fillId="0" fontId="12" numFmtId="0" xfId="0" applyAlignment="1" applyFont="1">
      <alignment readingOrder="0"/>
    </xf>
    <xf borderId="0" fillId="0" fontId="17" numFmtId="0" xfId="0" applyAlignment="1" applyFont="1">
      <alignment readingOrder="0"/>
    </xf>
    <xf borderId="0" fillId="8" fontId="14" numFmtId="0" xfId="0" applyAlignment="1" applyFill="1" applyFont="1">
      <alignment readingOrder="0" vertical="center"/>
    </xf>
    <xf borderId="0" fillId="7" fontId="14" numFmtId="0" xfId="0" applyAlignment="1" applyFill="1" applyFont="1">
      <alignment vertical="center"/>
    </xf>
    <xf borderId="0" fillId="8" fontId="14" numFmtId="0" xfId="0" applyAlignment="1" applyFill="1" applyFont="1">
      <alignment vertical="center"/>
    </xf>
    <xf borderId="0" fillId="7" fontId="14" numFmtId="0" xfId="0" applyAlignment="1" applyBorder="1" applyFill="1" applyFont="1">
      <alignment vertical="center"/>
    </xf>
    <xf borderId="0" fillId="8" fontId="14" numFmtId="0" xfId="0" applyAlignment="1" applyBorder="1" applyFill="1" applyFont="1">
      <alignment vertical="center"/>
    </xf>
    <xf borderId="17" fillId="8" fontId="14" numFmtId="0" xfId="0" applyAlignment="1" applyBorder="1" applyFill="1" applyFont="1">
      <alignment vertical="center"/>
    </xf>
    <xf borderId="17" fillId="8" fontId="14" numFmtId="164" xfId="0" applyAlignment="1" applyBorder="1" applyFill="1" applyFont="1" applyNumberFormat="1">
      <alignment vertical="center"/>
    </xf>
    <xf borderId="0" fillId="0" fontId="11" numFmtId="165" xfId="0" applyAlignment="1" applyFont="1" applyNumberFormat="1">
      <alignment horizontal="center" readingOrder="0"/>
    </xf>
    <xf borderId="17" fillId="8" fontId="14" numFmtId="0" xfId="0" applyAlignment="1" applyBorder="1" applyFill="1" applyFont="1">
      <alignment horizontal="center" vertical="center"/>
    </xf>
    <xf borderId="0" fillId="0" fontId="11" numFmtId="0" xfId="0" applyAlignment="1" applyFont="1">
      <alignment readingOrder="0"/>
    </xf>
    <xf borderId="0" fillId="0" fontId="11" numFmtId="164" xfId="0" applyAlignment="1" applyFont="1" applyNumberFormat="1">
      <alignment horizontal="center"/>
    </xf>
    <xf borderId="17" fillId="8" fontId="14" numFmtId="3" xfId="0" applyAlignment="1" applyBorder="1" applyFill="1" applyFont="1" applyNumberFormat="1">
      <alignment vertical="center"/>
    </xf>
    <xf borderId="0" fillId="0" fontId="11" numFmtId="3" xfId="0" applyAlignment="1" applyFont="1" applyNumberFormat="1">
      <alignment horizontal="right"/>
    </xf>
    <xf borderId="17" fillId="7" fontId="14" numFmtId="0" xfId="0" applyAlignment="1" applyBorder="1" applyFill="1" applyFont="1">
      <alignment vertical="center"/>
    </xf>
    <xf borderId="17" fillId="7" fontId="14" numFmtId="164" xfId="0" applyAlignment="1" applyBorder="1" applyFill="1" applyFont="1" applyNumberFormat="1">
      <alignment vertical="center"/>
    </xf>
    <xf borderId="17" fillId="7" fontId="14" numFmtId="0" xfId="0" applyAlignment="1" applyBorder="1" applyFill="1" applyFont="1">
      <alignment horizontal="center" vertical="center"/>
    </xf>
    <xf borderId="17" fillId="7" fontId="14" numFmtId="3" xfId="0" applyAlignment="1" applyBorder="1" applyFill="1" applyFont="1" applyNumberFormat="1">
      <alignment vertical="center"/>
    </xf>
    <xf borderId="17" fillId="8" fontId="14" numFmtId="0" xfId="0" applyAlignment="1" applyBorder="1" applyFill="1" applyFont="1">
      <alignment readingOrder="0" vertical="center"/>
    </xf>
    <xf borderId="0" fillId="0" fontId="12" numFmtId="0" xfId="0" applyFont="1"/>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vertical="center"/>
    </xf>
    <xf borderId="35" fillId="9" fontId="11" numFmtId="0" xfId="0" applyAlignment="1" applyBorder="1" applyFill="1" applyFont="1">
      <alignment horizontal="center" readingOrder="0" vertical="center"/>
    </xf>
    <xf borderId="36" fillId="9" fontId="11" numFmtId="0" xfId="0" applyAlignment="1" applyBorder="1" applyFill="1" applyFont="1">
      <alignment horizontal="center" readingOrder="0" vertical="center"/>
    </xf>
    <xf borderId="36" fillId="9" fontId="11" numFmtId="0" xfId="0" applyAlignment="1" applyBorder="1" applyFill="1" applyFont="1">
      <alignment horizontal="center" vertical="center"/>
    </xf>
    <xf borderId="36" fillId="10" fontId="11" numFmtId="0" xfId="0" applyAlignment="1" applyBorder="1" applyFill="1" applyFont="1">
      <alignment horizontal="center" vertical="center"/>
    </xf>
    <xf borderId="37" fillId="10" fontId="11" numFmtId="0" xfId="0" applyAlignment="1" applyBorder="1" applyFill="1" applyFont="1">
      <alignment horizontal="center" readingOrder="0" vertical="center"/>
    </xf>
    <xf borderId="0" fillId="0" fontId="20" numFmtId="0" xfId="0" applyAlignment="1" applyFont="1">
      <alignment readingOrder="0" vertical="top"/>
    </xf>
    <xf borderId="38" fillId="11" fontId="11" numFmtId="0" xfId="0" applyAlignment="1" applyBorder="1" applyFill="1" applyFont="1">
      <alignment readingOrder="0" shrinkToFit="0" vertical="top" wrapText="1"/>
    </xf>
    <xf borderId="39" fillId="0" fontId="3" numFmtId="0" xfId="0" applyBorder="1" applyFont="1"/>
    <xf borderId="40" fillId="0" fontId="3" numFmtId="0" xfId="0" applyBorder="1" applyFont="1"/>
    <xf borderId="41" fillId="0" fontId="3" numFmtId="0" xfId="0" applyBorder="1" applyFont="1"/>
    <xf borderId="42" fillId="0" fontId="3" numFmtId="0" xfId="0" applyBorder="1" applyFont="1"/>
    <xf borderId="43" fillId="0" fontId="3" numFmtId="0" xfId="0" applyBorder="1" applyFont="1"/>
    <xf borderId="44" fillId="0" fontId="3" numFmtId="0" xfId="0" applyBorder="1" applyFont="1"/>
    <xf borderId="45" fillId="0" fontId="3" numFmtId="0" xfId="0" applyBorder="1" applyFont="1"/>
    <xf borderId="46" fillId="12" fontId="21" numFmtId="0" xfId="0" applyAlignment="1" applyBorder="1" applyFill="1" applyFont="1">
      <alignment horizontal="left" readingOrder="0" vertical="center"/>
    </xf>
    <xf borderId="47" fillId="7" fontId="22" numFmtId="0" xfId="0" applyAlignment="1" applyBorder="1" applyFill="1" applyFont="1">
      <alignment horizontal="left" readingOrder="0" vertical="center"/>
    </xf>
    <xf borderId="48" fillId="12" fontId="21" numFmtId="0" xfId="0" applyAlignment="1" applyBorder="1" applyFill="1" applyFont="1">
      <alignment horizontal="left" readingOrder="0" vertical="center"/>
    </xf>
    <xf borderId="49" fillId="9" fontId="22" numFmtId="0" xfId="0" applyAlignment="1" applyBorder="1" applyFill="1" applyFont="1">
      <alignment horizontal="left" readingOrder="0" shrinkToFit="0" vertical="center" wrapText="1"/>
    </xf>
    <xf borderId="49" fillId="7" fontId="22" numFmtId="0" xfId="0" applyAlignment="1" applyBorder="1" applyFill="1" applyFont="1">
      <alignment horizontal="left" readingOrder="0" shrinkToFit="0" vertical="center" wrapText="1"/>
    </xf>
    <xf borderId="0" fillId="8" fontId="11" numFmtId="0" xfId="0" applyFill="1" applyFont="1"/>
    <xf borderId="0" fillId="13" fontId="23" numFmtId="0" xfId="0" applyAlignment="1" applyFill="1" applyFont="1">
      <alignment horizontal="center" readingOrder="0" shrinkToFit="0" vertical="center" wrapText="1"/>
    </xf>
    <xf borderId="48" fillId="12" fontId="21" numFmtId="0" xfId="0" applyAlignment="1" applyBorder="1" applyFill="1" applyFont="1">
      <alignment horizontal="left" readingOrder="0" shrinkToFit="0" vertical="center" wrapText="0"/>
    </xf>
    <xf borderId="0" fillId="8" fontId="11" numFmtId="0" xfId="0" applyAlignment="1" applyFill="1" applyFont="1">
      <alignment horizontal="center"/>
    </xf>
    <xf borderId="0" fillId="13" fontId="24" numFmtId="0" xfId="0" applyAlignment="1" applyFill="1" applyFont="1">
      <alignment horizontal="center" readingOrder="0" vertical="center"/>
    </xf>
    <xf borderId="50" fillId="12" fontId="21" numFmtId="0" xfId="0" applyAlignment="1" applyBorder="1" applyFill="1" applyFont="1">
      <alignment horizontal="left" readingOrder="0" shrinkToFit="0" vertical="center" wrapText="0"/>
    </xf>
    <xf borderId="0" fillId="14" fontId="25" numFmtId="0" xfId="0" applyAlignment="1" applyFill="1" applyFont="1">
      <alignment horizontal="left" readingOrder="0" vertical="center"/>
    </xf>
    <xf borderId="51" fillId="7" fontId="22" numFmtId="0" xfId="0" applyAlignment="1" applyBorder="1" applyFill="1" applyFont="1">
      <alignment horizontal="left" readingOrder="0" shrinkToFit="0" vertical="center" wrapText="1"/>
    </xf>
    <xf borderId="0" fillId="8" fontId="11" numFmtId="3" xfId="0" applyFill="1" applyFont="1" applyNumberFormat="1"/>
    <xf borderId="52" fillId="15" fontId="26" numFmtId="0" xfId="0" applyAlignment="1" applyBorder="1" applyFill="1" applyFont="1">
      <alignment horizontal="left" readingOrder="0" vertical="center"/>
    </xf>
    <xf borderId="0" fillId="8" fontId="27" numFmtId="0" xfId="0" applyFill="1" applyFont="1"/>
    <xf borderId="53" fillId="15" fontId="26" numFmtId="0" xfId="0" applyAlignment="1" applyBorder="1" applyFill="1" applyFont="1">
      <alignment horizontal="left" readingOrder="0" vertical="center"/>
    </xf>
    <xf borderId="54" fillId="15" fontId="26" numFmtId="0" xfId="0" applyAlignment="1" applyBorder="1" applyFill="1" applyFont="1">
      <alignment horizontal="left" readingOrder="0" vertical="center"/>
    </xf>
    <xf borderId="0" fillId="7" fontId="11" numFmtId="0" xfId="0" applyFill="1" applyFont="1"/>
    <xf borderId="55" fillId="0" fontId="28" numFmtId="0" xfId="0" applyAlignment="1" applyBorder="1" applyFont="1">
      <alignment readingOrder="0" shrinkToFit="0" vertical="top" wrapText="1"/>
    </xf>
    <xf borderId="56" fillId="0" fontId="29" numFmtId="0" xfId="0" applyAlignment="1" applyBorder="1" applyFont="1">
      <alignment readingOrder="0" shrinkToFit="0" vertical="top" wrapText="1"/>
    </xf>
    <xf borderId="57" fillId="0" fontId="29" numFmtId="0" xfId="0" applyAlignment="1" applyBorder="1" applyFont="1">
      <alignment readingOrder="0" shrinkToFit="0" vertical="top" wrapText="1"/>
    </xf>
    <xf borderId="0" fillId="7" fontId="11" numFmtId="0" xfId="0" applyAlignment="1" applyFill="1" applyFont="1">
      <alignment horizontal="center"/>
    </xf>
    <xf borderId="55" fillId="16" fontId="28" numFmtId="0" xfId="0" applyAlignment="1" applyBorder="1" applyFill="1" applyFont="1">
      <alignment readingOrder="0" shrinkToFit="0" vertical="top" wrapText="1"/>
    </xf>
    <xf borderId="56" fillId="16" fontId="29" numFmtId="0" xfId="0" applyAlignment="1" applyBorder="1" applyFill="1" applyFont="1">
      <alignment readingOrder="0" shrinkToFit="0" vertical="top" wrapText="1"/>
    </xf>
    <xf borderId="0" fillId="7" fontId="11" numFmtId="3" xfId="0" applyFill="1" applyFont="1" applyNumberFormat="1"/>
    <xf borderId="57" fillId="16" fontId="29" numFmtId="0" xfId="0" applyAlignment="1" applyBorder="1" applyFill="1" applyFont="1">
      <alignment readingOrder="0" shrinkToFit="0" vertical="top" wrapText="1"/>
    </xf>
    <xf borderId="0" fillId="7" fontId="27" numFmtId="0" xfId="0" applyFill="1" applyFont="1"/>
    <xf borderId="58" fillId="0" fontId="28" numFmtId="0" xfId="0" applyAlignment="1" applyBorder="1" applyFont="1">
      <alignment readingOrder="0" shrinkToFit="0" vertical="top" wrapText="1"/>
    </xf>
    <xf borderId="59" fillId="0" fontId="29" numFmtId="0" xfId="0" applyAlignment="1" applyBorder="1" applyFont="1">
      <alignment readingOrder="0" shrinkToFit="0" vertical="top" wrapText="1"/>
    </xf>
    <xf borderId="60" fillId="0" fontId="29" numFmtId="0" xfId="0" applyAlignment="1" applyBorder="1" applyFont="1">
      <alignment readingOrder="0" shrinkToFit="0" vertical="top" wrapText="1"/>
    </xf>
    <xf borderId="61" fillId="17" fontId="30" numFmtId="0" xfId="0" applyAlignment="1" applyBorder="1" applyFill="1" applyFont="1">
      <alignment horizontal="center" readingOrder="0" shrinkToFit="0" vertical="center" wrapText="1"/>
    </xf>
    <xf borderId="62" fillId="0" fontId="3" numFmtId="0" xfId="0" applyBorder="1" applyFont="1"/>
    <xf borderId="63" fillId="0" fontId="3" numFmtId="0" xfId="0" applyBorder="1" applyFont="1"/>
    <xf borderId="0" fillId="18" fontId="31" numFmtId="0" xfId="0" applyAlignment="1" applyFill="1" applyFont="1">
      <alignment horizontal="center" readingOrder="0" vertical="center"/>
    </xf>
    <xf borderId="0" fillId="19" fontId="32" numFmtId="0" xfId="0" applyAlignment="1" applyFill="1" applyFont="1">
      <alignment horizontal="center" readingOrder="0" vertical="center"/>
    </xf>
    <xf borderId="64" fillId="20" fontId="33" numFmtId="0" xfId="0" applyAlignment="1" applyBorder="1" applyFill="1" applyFont="1">
      <alignment horizontal="center" readingOrder="0" vertical="center"/>
    </xf>
    <xf borderId="65" fillId="0" fontId="3" numFmtId="0" xfId="0" applyBorder="1" applyFont="1"/>
    <xf borderId="66" fillId="21" fontId="34" numFmtId="0" xfId="0" applyAlignment="1" applyBorder="1" applyFill="1" applyFont="1">
      <alignment horizontal="center" readingOrder="0" vertical="center"/>
    </xf>
    <xf borderId="67" fillId="0" fontId="3" numFmtId="0" xfId="0" applyBorder="1" applyFont="1"/>
    <xf borderId="68" fillId="12" fontId="35" numFmtId="0" xfId="0" applyAlignment="1" applyBorder="1" applyFill="1" applyFont="1">
      <alignment horizontal="center" readingOrder="0" vertical="center"/>
    </xf>
    <xf borderId="69" fillId="0" fontId="3" numFmtId="0" xfId="0" applyBorder="1" applyFont="1"/>
    <xf borderId="70" fillId="22" fontId="36" numFmtId="0" xfId="0" applyAlignment="1" applyBorder="1" applyFill="1" applyFont="1">
      <alignment horizontal="center" vertical="center"/>
    </xf>
    <xf borderId="71" fillId="0" fontId="3" numFmtId="0" xfId="0" applyBorder="1" applyFont="1"/>
    <xf borderId="72" fillId="23" fontId="37" numFmtId="0" xfId="0" applyAlignment="1" applyBorder="1" applyFill="1" applyFont="1">
      <alignment horizontal="center" vertical="center"/>
    </xf>
    <xf borderId="73" fillId="0" fontId="3" numFmtId="0" xfId="0" applyBorder="1" applyFont="1"/>
    <xf borderId="74" fillId="24" fontId="38" numFmtId="0" xfId="0" applyAlignment="1" applyBorder="1" applyFill="1" applyFont="1">
      <alignment horizontal="center" vertical="center"/>
    </xf>
    <xf borderId="75" fillId="0" fontId="3" numFmtId="0" xfId="0" applyBorder="1" applyFont="1"/>
    <xf borderId="76" fillId="18" fontId="39" numFmtId="0" xfId="0" applyAlignment="1" applyBorder="1" applyFill="1" applyFont="1">
      <alignment horizontal="left" readingOrder="0" vertical="center"/>
    </xf>
    <xf borderId="77" fillId="0" fontId="3" numFmtId="0" xfId="0" applyBorder="1" applyFont="1"/>
    <xf borderId="78" fillId="18" fontId="39" numFmtId="0" xfId="0" applyAlignment="1" applyBorder="1" applyFill="1" applyFont="1">
      <alignment horizontal="left" readingOrder="0" vertical="center"/>
    </xf>
    <xf borderId="79" fillId="0" fontId="3" numFmtId="0" xfId="0" applyBorder="1" applyFont="1"/>
    <xf borderId="80" fillId="0" fontId="3" numFmtId="0" xfId="0" applyBorder="1" applyFont="1"/>
    <xf borderId="81" fillId="25" fontId="40" numFmtId="0" xfId="0" applyAlignment="1" applyBorder="1" applyFill="1" applyFont="1">
      <alignment readingOrder="0" vertical="center"/>
    </xf>
    <xf borderId="82" fillId="25" fontId="40" numFmtId="0" xfId="0" applyAlignment="1" applyBorder="1" applyFill="1" applyFont="1">
      <alignment readingOrder="0" vertical="center"/>
    </xf>
    <xf borderId="83" fillId="25" fontId="40" numFmtId="0" xfId="0" applyAlignment="1" applyBorder="1" applyFill="1" applyFont="1">
      <alignment readingOrder="0" vertical="center"/>
    </xf>
    <xf borderId="84" fillId="25" fontId="40" numFmtId="0" xfId="0" applyAlignment="1" applyBorder="1" applyFill="1" applyFont="1">
      <alignment readingOrder="0" vertical="center"/>
    </xf>
    <xf borderId="85" fillId="0" fontId="3" numFmtId="0" xfId="0" applyBorder="1" applyFont="1"/>
    <xf borderId="86" fillId="0" fontId="3" numFmtId="0" xfId="0" applyBorder="1" applyFont="1"/>
    <xf borderId="81" fillId="26" fontId="40" numFmtId="0" xfId="0" applyAlignment="1" applyBorder="1" applyFill="1" applyFont="1">
      <alignment readingOrder="0" vertical="center"/>
    </xf>
    <xf borderId="82" fillId="27" fontId="41" numFmtId="0" xfId="0" applyAlignment="1" applyBorder="1" applyFill="1" applyFont="1">
      <alignment horizontal="center" vertical="center"/>
    </xf>
    <xf borderId="83" fillId="28" fontId="42" numFmtId="0" xfId="0" applyAlignment="1" applyBorder="1" applyFill="1" applyFont="1">
      <alignment horizontal="left" readingOrder="0" vertical="center"/>
    </xf>
    <xf borderId="84" fillId="7" fontId="43" numFmtId="0" xfId="0" applyAlignment="1" applyBorder="1" applyFill="1" applyFont="1">
      <alignment readingOrder="0" shrinkToFit="0" vertical="center" wrapText="1"/>
    </xf>
    <xf borderId="82" fillId="7" fontId="44" numFmtId="0" xfId="0" applyAlignment="1" applyBorder="1" applyFill="1" applyFont="1">
      <alignment readingOrder="0" vertical="center"/>
    </xf>
    <xf borderId="82" fillId="7" fontId="44" numFmtId="164" xfId="0" applyAlignment="1" applyBorder="1" applyFill="1" applyFont="1" applyNumberFormat="1">
      <alignment readingOrder="0" vertical="center"/>
    </xf>
    <xf borderId="87" fillId="28" fontId="42" numFmtId="0" xfId="0" applyAlignment="1" applyBorder="1" applyFill="1" applyFont="1">
      <alignment horizontal="left" readingOrder="0" vertical="center"/>
    </xf>
    <xf borderId="88" fillId="7" fontId="43" numFmtId="0" xfId="0" applyAlignment="1" applyBorder="1" applyFill="1" applyFont="1">
      <alignment readingOrder="0" shrinkToFit="0" vertical="center" wrapText="1"/>
    </xf>
    <xf borderId="89" fillId="0" fontId="3" numFmtId="0" xfId="0" applyBorder="1" applyFont="1"/>
    <xf borderId="90" fillId="0" fontId="3" numFmtId="0" xfId="0" applyBorder="1" applyFont="1"/>
    <xf borderId="91" fillId="26" fontId="40" numFmtId="0" xfId="0" applyAlignment="1" applyBorder="1" applyFill="1" applyFont="1">
      <alignment readingOrder="0" vertical="center"/>
    </xf>
    <xf borderId="92" fillId="7" fontId="44" numFmtId="0" xfId="0" applyAlignment="1" applyBorder="1" applyFill="1" applyFont="1">
      <alignment readingOrder="0" vertical="center"/>
    </xf>
    <xf borderId="93" fillId="29" fontId="39" numFmtId="0" xfId="0" applyAlignment="1" applyBorder="1" applyFill="1" applyFont="1">
      <alignment horizontal="center" readingOrder="0" vertical="center"/>
    </xf>
    <xf borderId="94" fillId="0" fontId="3" numFmtId="0" xfId="0" applyBorder="1" applyFont="1"/>
    <xf borderId="0" fillId="29" fontId="39" numFmtId="0" xfId="0" applyAlignment="1" applyFill="1" applyFont="1">
      <alignment horizontal="center" readingOrder="0" vertical="center"/>
    </xf>
    <xf borderId="95" fillId="18" fontId="39" numFmtId="0" xfId="0" applyAlignment="1" applyBorder="1" applyFill="1" applyFont="1">
      <alignment horizontal="left" readingOrder="0" vertical="center"/>
    </xf>
    <xf borderId="96" fillId="0" fontId="3" numFmtId="0" xfId="0" applyBorder="1" applyFont="1"/>
    <xf borderId="97" fillId="0" fontId="3" numFmtId="0" xfId="0" applyBorder="1" applyFont="1"/>
    <xf borderId="83" fillId="30" fontId="45" numFmtId="0" xfId="0" applyAlignment="1" applyBorder="1" applyFill="1" applyFont="1">
      <alignment horizontal="center" readingOrder="0" vertical="center"/>
    </xf>
    <xf borderId="98" fillId="30" fontId="45" numFmtId="0" xfId="0" applyAlignment="1" applyBorder="1" applyFill="1" applyFont="1">
      <alignment horizontal="center" readingOrder="0" vertical="center"/>
    </xf>
    <xf borderId="99" fillId="30" fontId="45" numFmtId="0" xfId="0" applyAlignment="1" applyBorder="1" applyFill="1" applyFont="1">
      <alignment horizontal="center" readingOrder="0" vertical="center"/>
    </xf>
    <xf borderId="83" fillId="0" fontId="43" numFmtId="0" xfId="0" applyAlignment="1" applyBorder="1" applyFont="1">
      <alignment vertical="center"/>
    </xf>
    <xf borderId="98" fillId="0" fontId="43" numFmtId="0" xfId="0" applyAlignment="1" applyBorder="1" applyFont="1">
      <alignment vertical="center"/>
    </xf>
    <xf borderId="99" fillId="0" fontId="43" numFmtId="0" xfId="0" applyAlignment="1" applyBorder="1" applyFont="1">
      <alignment vertical="center"/>
    </xf>
    <xf borderId="0" fillId="31" fontId="11" numFmtId="0" xfId="0" applyFill="1" applyFont="1"/>
    <xf borderId="0" fillId="0" fontId="11" numFmtId="0" xfId="0" applyAlignment="1" applyFont="1">
      <alignment horizontal="center"/>
    </xf>
    <xf borderId="0" fillId="0" fontId="11" numFmtId="3" xfId="0" applyFont="1" applyNumberFormat="1"/>
    <xf borderId="0" fillId="0" fontId="27" numFmtId="0" xfId="0" applyFont="1"/>
    <xf borderId="87" fillId="0" fontId="43" numFmtId="0" xfId="0" applyAlignment="1" applyBorder="1" applyFont="1">
      <alignment vertical="center"/>
    </xf>
    <xf borderId="100" fillId="0" fontId="43" numFmtId="0" xfId="0" applyAlignment="1" applyBorder="1" applyFont="1">
      <alignment vertical="center"/>
    </xf>
    <xf borderId="101" fillId="0" fontId="43" numFmtId="0" xfId="0" applyAlignment="1" applyBorder="1" applyFont="1">
      <alignment vertical="center"/>
    </xf>
  </cellXfs>
  <cellStyles count="1">
    <cellStyle xfId="0" name="Normal" builtinId="0"/>
  </cellStyles>
  <dxfs count="9">
    <dxf>
      <font/>
      <fill>
        <patternFill patternType="none"/>
      </fill>
      <border/>
    </dxf>
    <dxf>
      <font/>
      <fill>
        <patternFill patternType="solid">
          <fgColor rgb="FF1A3557"/>
          <bgColor rgb="FF1A3557"/>
        </patternFill>
      </fill>
      <border/>
    </dxf>
    <dxf>
      <font/>
      <fill>
        <patternFill patternType="solid">
          <fgColor rgb="FFFFFFFF"/>
          <bgColor rgb="FFFFFFFF"/>
        </patternFill>
      </fill>
      <border/>
    </dxf>
    <dxf>
      <font/>
      <fill>
        <patternFill patternType="solid">
          <fgColor rgb="FFEDF4FC"/>
          <bgColor rgb="FFEDF4FC"/>
        </patternFill>
      </fill>
      <border/>
    </dxf>
    <dxf>
      <font>
        <b/>
        <color rgb="FFFFFFFF"/>
      </font>
      <fill>
        <patternFill patternType="solid">
          <fgColor rgb="FFCC0000"/>
          <bgColor rgb="FFCC0000"/>
        </patternFill>
      </fill>
      <border/>
    </dxf>
    <dxf>
      <font>
        <b/>
        <color rgb="FF990000"/>
      </font>
      <fill>
        <patternFill patternType="solid">
          <fgColor rgb="FFF4CCCC"/>
          <bgColor rgb="FFF4CCCC"/>
        </patternFill>
      </fill>
      <border/>
    </dxf>
    <dxf>
      <font>
        <color rgb="FF274E13"/>
      </font>
      <fill>
        <patternFill patternType="solid">
          <fgColor rgb="FFD9EAD3"/>
          <bgColor rgb="FFD9EAD3"/>
        </patternFill>
      </fill>
      <border/>
    </dxf>
    <dxf>
      <font>
        <color rgb="FF331900"/>
      </font>
      <fill>
        <patternFill patternType="solid">
          <fgColor rgb="FFF6B26B"/>
          <bgColor rgb="FFF6B26B"/>
        </patternFill>
      </fill>
      <border/>
    </dxf>
    <dxf>
      <font>
        <color rgb="FF0C522B"/>
      </font>
      <fill>
        <patternFill patternType="solid">
          <fgColor rgb="FFB7E1CD"/>
          <bgColor rgb="FFB7E1CD"/>
        </patternFill>
      </fill>
      <border/>
    </dxf>
  </dxfs>
  <tableStyles count="3">
    <tableStyle count="3" pivot="0" name="Famiglie-style">
      <tableStyleElement dxfId="1" type="headerRow"/>
      <tableStyleElement dxfId="2" type="firstRowStripe"/>
      <tableStyleElement dxfId="3" type="secondRowStripe"/>
    </tableStyle>
    <tableStyle count="3" pivot="0" name="Log Ricariche-style">
      <tableStyleElement dxfId="1" type="headerRow"/>
      <tableStyleElement dxfId="2" type="firstRowStripe"/>
      <tableStyleElement dxfId="3" type="secondRowStripe"/>
    </tableStyle>
    <tableStyle count="3" pivot="0" name="Log Utilizzi-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 Id="rId3" Type="http://schemas.openxmlformats.org/officeDocument/2006/relationships/image" Target="../media/image4.jpg"/><Relationship Id="rId4"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438150</xdr:colOff>
      <xdr:row>1</xdr:row>
      <xdr:rowOff>38100</xdr:rowOff>
    </xdr:from>
    <xdr:ext cx="466725" cy="3714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419100</xdr:colOff>
      <xdr:row>1</xdr:row>
      <xdr:rowOff>85725</xdr:rowOff>
    </xdr:from>
    <xdr:ext cx="409575" cy="2857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342900</xdr:colOff>
      <xdr:row>2</xdr:row>
      <xdr:rowOff>76200</xdr:rowOff>
    </xdr:from>
    <xdr:ext cx="666750" cy="371475"/>
    <xdr:pic>
      <xdr:nvPicPr>
        <xdr:cNvPr id="0" name="image4.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476250</xdr:colOff>
      <xdr:row>3</xdr:row>
      <xdr:rowOff>38100</xdr:rowOff>
    </xdr:from>
    <xdr:ext cx="409575" cy="419100"/>
    <xdr:pic>
      <xdr:nvPicPr>
        <xdr:cNvPr id="0" name="image2.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00" displayName="Table_1" name="Table_1" id="1">
  <tableColumns count="9">
    <tableColumn name="ID" id="1"/>
    <tableColumn name="Nome" id="2"/>
    <tableColumn name="Cognome" id="3"/>
    <tableColumn name="Biglietti acquistati" id="4"/>
    <tableColumn name="Totale biglietti utilizzati" id="5"/>
    <tableColumn name="Totale biglietti rimanenti" id="6"/>
    <tableColumn name="Status Avviso" id="7"/>
    <tableColumn name="Email Notifica" id="8"/>
    <tableColumn name="Status biglietti" id="9"/>
  </tableColumns>
  <tableStyleInfo name="Famiglie-style" showColumnStripes="0" showFirstColumn="1" showLastColumn="1" showRowStripes="1"/>
</table>
</file>

<file path=xl/tables/table2.xml><?xml version="1.0" encoding="utf-8"?>
<table xmlns="http://schemas.openxmlformats.org/spreadsheetml/2006/main" ref="A1:H100" displayName="Table_2" name="Table_2" id="2">
  <tableColumns count="8">
    <tableColumn name="Data Ricarica" id="1"/>
    <tableColumn name="ID Alunno" id="2"/>
    <tableColumn name="Importo (biglietti)" id="3"/>
    <tableColumn name="Nome" id="4"/>
    <tableColumn name="Cognome" id="5"/>
    <tableColumn name="Riferimento Bonifico" id="6"/>
    <tableColumn name="Link Documento Drive" id="7"/>
    <tableColumn name="Operatore" id="8"/>
  </tableColumns>
  <tableStyleInfo name="Log Ricariche-style" showColumnStripes="0" showFirstColumn="1" showLastColumn="1" showRowStripes="1"/>
</table>
</file>

<file path=xl/tables/table3.xml><?xml version="1.0" encoding="utf-8"?>
<table xmlns="http://schemas.openxmlformats.org/spreadsheetml/2006/main" ref="A1:G100" displayName="Table_3" name="Table_3" id="3">
  <tableColumns count="7">
    <tableColumn name="Data Utilizzo" id="1"/>
    <tableColumn name="ID Alunno" id="2"/>
    <tableColumn name="Buoni Usati (numero)" id="3"/>
    <tableColumn name="Nome" id="4"/>
    <tableColumn name="Cognome" id="5"/>
    <tableColumn name="Classe/Sezione" id="6"/>
    <tableColumn name="Note" id="7"/>
  </tableColumns>
  <tableStyleInfo name="Log Utilizz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Rd-ec4uSYa7zi4Z78IhNjBkKowyotckn/view?usp=drive_link" TargetMode="External"/><Relationship Id="rId3" Type="http://schemas.openxmlformats.org/officeDocument/2006/relationships/drawing" Target="../drawings/drawing4.xml"/><Relationship Id="rId4" Type="http://schemas.openxmlformats.org/officeDocument/2006/relationships/vmlDrawing" Target="../drawings/vmlDrawing1.vml"/><Relationship Id="rId6"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 Id="rId5"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457"/>
    <outlinePr summaryBelow="0" summaryRight="0"/>
  </sheetPr>
  <sheetViews>
    <sheetView showGridLines="0" workbookViewId="0"/>
  </sheetViews>
  <sheetFormatPr customHeight="1" defaultColWidth="12.63" defaultRowHeight="15.75"/>
  <cols>
    <col customWidth="1" min="1" max="8" width="17.63"/>
  </cols>
  <sheetData>
    <row r="1">
      <c r="A1" s="1" t="s">
        <v>0</v>
      </c>
    </row>
    <row r="5">
      <c r="A5" s="2" t="s">
        <v>1</v>
      </c>
      <c r="B5" s="3"/>
      <c r="C5" s="4" t="s">
        <v>2</v>
      </c>
      <c r="D5" s="5"/>
      <c r="E5" s="6" t="s">
        <v>3</v>
      </c>
      <c r="F5" s="7"/>
      <c r="G5" s="8" t="s">
        <v>4</v>
      </c>
      <c r="H5" s="9"/>
    </row>
    <row r="6">
      <c r="A6" s="10">
        <f>COUNTA(Alunni!B:B)-1</f>
        <v>5</v>
      </c>
      <c r="B6" s="11"/>
      <c r="C6" s="12">
        <f>COUNTIF(Alunni!I:I,"&lt;="&amp;Impostazioni!B1)</f>
        <v>2</v>
      </c>
      <c r="D6" s="14"/>
      <c r="E6" s="16">
        <f>COUNTIF(Famiglie!G:G,"Inviato*")</f>
        <v>1</v>
      </c>
      <c r="F6" s="18"/>
      <c r="G6" s="23">
        <f>SUM('Log Utilizzi'!C:C)</f>
        <v>91</v>
      </c>
      <c r="H6" s="25"/>
    </row>
    <row r="7">
      <c r="A7" s="30"/>
      <c r="B7" s="31"/>
      <c r="C7" s="32"/>
      <c r="D7" s="33"/>
      <c r="E7" s="34"/>
      <c r="F7" s="35"/>
      <c r="G7" s="36"/>
      <c r="H7" s="37"/>
    </row>
    <row r="9">
      <c r="A9" s="38" t="s">
        <v>34</v>
      </c>
    </row>
    <row r="10">
      <c r="A10" s="39" t="str">
        <f>IFERROR(__xludf.DUMMYFUNCTION("QUERY(Alunni!B:J,""SELECT B,C,I,J WHERE I &lt;= "" &amp; Impostazioni!$B$1 &amp; "" AND I is not null AND B &lt;&gt; 'Nome'"",1)"),"Nome")</f>
        <v>Nome</v>
      </c>
      <c r="B10" s="40" t="str">
        <f>IFERROR(__xludf.DUMMYFUNCTION("""COMPUTED_VALUE"""),"Cognome")</f>
        <v>Cognome</v>
      </c>
      <c r="C10" s="40" t="str">
        <f>IFERROR(__xludf.DUMMYFUNCTION("""COMPUTED_VALUE"""),"Totale biglietti rimanenti ")</f>
        <v>Totale biglietti rimanenti </v>
      </c>
      <c r="D10" s="41" t="str">
        <f>IFERROR(__xludf.DUMMYFUNCTION("""COMPUTED_VALUE"""),"Status biglietti ")</f>
        <v>Status biglietti </v>
      </c>
    </row>
    <row r="11">
      <c r="A11" s="42" t="str">
        <f>IFERROR(__xludf.DUMMYFUNCTION("""COMPUTED_VALUE"""),"Mario")</f>
        <v>Mario</v>
      </c>
      <c r="B11" s="43" t="str">
        <f>IFERROR(__xludf.DUMMYFUNCTION("""COMPUTED_VALUE"""),"Rossi")</f>
        <v>Rossi</v>
      </c>
      <c r="C11" s="43">
        <f>IFERROR(__xludf.DUMMYFUNCTION("""COMPUTED_VALUE"""),3.0)</f>
        <v>3</v>
      </c>
      <c r="D11" s="44" t="str">
        <f>IFERROR(__xludf.DUMMYFUNCTION("""COMPUTED_VALUE"""),"Inviare Avviso")</f>
        <v>Inviare Avviso</v>
      </c>
    </row>
    <row r="12">
      <c r="A12" s="45" t="str">
        <f>IFERROR(__xludf.DUMMYFUNCTION("""COMPUTED_VALUE"""),"Pinco")</f>
        <v>Pinco</v>
      </c>
      <c r="B12" s="46" t="str">
        <f>IFERROR(__xludf.DUMMYFUNCTION("""COMPUTED_VALUE"""),"Pallo")</f>
        <v>Pallo</v>
      </c>
      <c r="C12" s="46">
        <f>IFERROR(__xludf.DUMMYFUNCTION("""COMPUTED_VALUE"""),4.0)</f>
        <v>4</v>
      </c>
      <c r="D12" s="47" t="str">
        <f>IFERROR(__xludf.DUMMYFUNCTION("""COMPUTED_VALUE"""),"Inviare Avviso")</f>
        <v>Inviare Avviso</v>
      </c>
    </row>
    <row r="13">
      <c r="A13" s="48"/>
      <c r="B13" s="48"/>
      <c r="C13" s="48"/>
      <c r="D13" s="48"/>
    </row>
    <row r="16">
      <c r="A16" s="51" t="s">
        <v>36</v>
      </c>
      <c r="B16" s="53" t="str">
        <f>TEXT(NOW(),"dd/mm/yyyy hh:mm")</f>
        <v>11/09/2026 09:14</v>
      </c>
      <c r="C16" s="53"/>
    </row>
  </sheetData>
  <mergeCells count="10">
    <mergeCell ref="E6:F7"/>
    <mergeCell ref="G6:H7"/>
    <mergeCell ref="A1:H3"/>
    <mergeCell ref="A5:B5"/>
    <mergeCell ref="C5:D5"/>
    <mergeCell ref="E5:F5"/>
    <mergeCell ref="G5:H5"/>
    <mergeCell ref="A6:B7"/>
    <mergeCell ref="C6:D7"/>
    <mergeCell ref="A9:D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51C"/>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25"/>
    <col customWidth="1" min="2" max="2" width="5.88"/>
    <col customWidth="1" min="3" max="3" width="8.0"/>
    <col customWidth="1" min="4" max="4" width="12.13"/>
    <col customWidth="1" min="5" max="5" width="7.38"/>
    <col customWidth="1" min="6" max="6" width="8.5"/>
    <col customWidth="1" min="7" max="7" width="16.25"/>
    <col customWidth="1" min="8" max="9" width="11.75"/>
    <col customWidth="1" min="10" max="10" width="12.0"/>
    <col customWidth="1" min="11" max="11" width="21.38"/>
    <col customWidth="1" min="12" max="12" width="30.88"/>
    <col customWidth="1" min="13" max="13" width="1.88"/>
    <col customWidth="1" min="14" max="14" width="11.38"/>
    <col customWidth="1" min="15" max="15" width="66.88"/>
    <col customWidth="1" min="16" max="16" width="10.63"/>
  </cols>
  <sheetData>
    <row r="1" ht="30.0" customHeight="1">
      <c r="A1" s="13" t="s">
        <v>5</v>
      </c>
      <c r="B1" s="13" t="s">
        <v>7</v>
      </c>
      <c r="C1" s="13" t="s">
        <v>8</v>
      </c>
      <c r="D1" s="13" t="s">
        <v>13</v>
      </c>
      <c r="E1" s="13" t="s">
        <v>6</v>
      </c>
      <c r="F1" s="13" t="s">
        <v>16</v>
      </c>
      <c r="G1" s="13" t="s">
        <v>17</v>
      </c>
      <c r="H1" s="17" t="s">
        <v>18</v>
      </c>
      <c r="I1" s="13" t="s">
        <v>23</v>
      </c>
      <c r="J1" s="13" t="s">
        <v>25</v>
      </c>
      <c r="K1" s="13" t="s">
        <v>26</v>
      </c>
      <c r="L1" s="13" t="s">
        <v>27</v>
      </c>
      <c r="N1" s="13" t="s">
        <v>28</v>
      </c>
      <c r="O1" s="13" t="s">
        <v>29</v>
      </c>
      <c r="P1" s="13" t="s">
        <v>30</v>
      </c>
      <c r="Q1" s="20"/>
      <c r="R1" s="20"/>
      <c r="S1" s="20"/>
      <c r="T1" s="20"/>
      <c r="U1" s="22"/>
      <c r="V1" s="22"/>
      <c r="W1" s="22"/>
      <c r="X1" s="22"/>
      <c r="Y1" s="22"/>
      <c r="Z1" s="22"/>
      <c r="AA1" s="22"/>
      <c r="AB1" s="22"/>
      <c r="AC1" s="22"/>
      <c r="AD1" s="22"/>
    </row>
    <row r="2" ht="42.0" customHeight="1">
      <c r="A2" s="26"/>
      <c r="B2" s="28" t="s">
        <v>32</v>
      </c>
      <c r="C2" s="28" t="s">
        <v>33</v>
      </c>
      <c r="D2" s="28">
        <v>42558.0</v>
      </c>
      <c r="E2" s="28">
        <v>6524939.0</v>
      </c>
      <c r="F2" s="28">
        <f>IFERROR(SUMIF('Log Ricariche'!$B:$B,E2,'Log Ricariche'!$C:$C),0)</f>
        <v>30</v>
      </c>
      <c r="G2" s="28"/>
      <c r="H2" s="28">
        <f>IFERROR(SUMIF('Log Utilizzi'!$B:$B,E2,'Log Utilizzi'!$C:$C),0)</f>
        <v>27</v>
      </c>
      <c r="I2" s="28">
        <f t="shared" ref="I2:I5" si="1">F2-H2</f>
        <v>3</v>
      </c>
      <c r="J2" s="28" t="str">
        <f>IF(I2&lt;=Impostazioni!$B$1, "Inviare Avviso", "Sufficienti")</f>
        <v>Inviare Avviso</v>
      </c>
      <c r="K2" s="49" t="s">
        <v>35</v>
      </c>
      <c r="L2" s="26" t="s">
        <v>37</v>
      </c>
      <c r="M2" s="26">
        <v>5.0</v>
      </c>
      <c r="N2" s="26" t="s">
        <v>38</v>
      </c>
      <c r="O2" s="52" t="s">
        <v>39</v>
      </c>
      <c r="P2" s="54">
        <f t="shared" ref="P2:P5" si="2">IF(L2="Inviato", 1, 0)</f>
        <v>1</v>
      </c>
      <c r="Q2" s="20"/>
      <c r="R2" s="20"/>
      <c r="S2" s="20"/>
      <c r="T2" s="20"/>
      <c r="U2" s="22"/>
      <c r="V2" s="22"/>
      <c r="W2" s="22"/>
      <c r="X2" s="22"/>
      <c r="Y2" s="22"/>
      <c r="Z2" s="22"/>
      <c r="AA2" s="22"/>
      <c r="AB2" s="22"/>
      <c r="AC2" s="22"/>
      <c r="AD2" s="22"/>
    </row>
    <row r="3" ht="42.0" customHeight="1">
      <c r="A3" s="56"/>
      <c r="B3" s="57" t="s">
        <v>40</v>
      </c>
      <c r="C3" s="57" t="s">
        <v>42</v>
      </c>
      <c r="D3" s="57">
        <v>41672.0</v>
      </c>
      <c r="E3" s="57">
        <v>3848055.0</v>
      </c>
      <c r="F3" s="57">
        <f>IFERROR(SUMIF('Log Ricariche'!$B:$B,E3,'Log Ricariche'!$C:$C),0)</f>
        <v>59</v>
      </c>
      <c r="G3" s="57"/>
      <c r="H3" s="57">
        <f>IFERROR(SUMIF('Log Utilizzi'!$B:$B,E3,'Log Utilizzi'!$C:$C),0)</f>
        <v>53</v>
      </c>
      <c r="I3" s="57">
        <f t="shared" si="1"/>
        <v>6</v>
      </c>
      <c r="J3" s="57" t="str">
        <f>IF(I3&lt;=Impostazioni!$B$1, "Inviare Avviso", "Sufficienti")</f>
        <v>Sufficienti</v>
      </c>
      <c r="K3" s="57" t="s">
        <v>44</v>
      </c>
      <c r="L3" s="56"/>
      <c r="M3" s="56"/>
      <c r="N3" s="60"/>
      <c r="O3" s="60"/>
      <c r="P3" s="60">
        <f t="shared" si="2"/>
        <v>0</v>
      </c>
      <c r="Q3" s="21"/>
      <c r="R3" s="21"/>
      <c r="S3" s="21"/>
      <c r="T3" s="21"/>
    </row>
    <row r="4" ht="42.0" customHeight="1">
      <c r="A4" s="61"/>
      <c r="B4" s="28" t="s">
        <v>45</v>
      </c>
      <c r="C4" s="28" t="s">
        <v>46</v>
      </c>
      <c r="D4" s="28">
        <v>41804.0</v>
      </c>
      <c r="E4" s="28">
        <v>5969695.0</v>
      </c>
      <c r="F4" s="28">
        <f>IFERROR(SUMIF('Log Ricariche'!$B:$B,E4,'Log Ricariche'!$C:$C),0)</f>
        <v>80</v>
      </c>
      <c r="G4" s="28"/>
      <c r="H4" s="28">
        <f>IFERROR(SUMIF('Log Utilizzi'!$B:$B,E4,'Log Utilizzi'!$C:$C),0)</f>
        <v>5</v>
      </c>
      <c r="I4" s="28">
        <f t="shared" si="1"/>
        <v>75</v>
      </c>
      <c r="J4" s="28" t="str">
        <f>IF(I4&lt;=Impostazioni!$B$1, "Inviare Avviso", "Sufficienti")</f>
        <v>Sufficienti</v>
      </c>
      <c r="K4" s="28" t="s">
        <v>44</v>
      </c>
      <c r="L4" s="61"/>
      <c r="M4" s="61"/>
      <c r="N4" s="61"/>
      <c r="O4" s="61"/>
      <c r="P4" s="61">
        <f t="shared" si="2"/>
        <v>0</v>
      </c>
      <c r="Q4" s="21"/>
      <c r="R4" s="21"/>
      <c r="S4" s="21"/>
      <c r="T4" s="21"/>
    </row>
    <row r="5" ht="42.0" customHeight="1">
      <c r="A5" s="62"/>
      <c r="B5" s="57" t="s">
        <v>47</v>
      </c>
      <c r="C5" s="57" t="s">
        <v>48</v>
      </c>
      <c r="D5" s="57"/>
      <c r="E5" s="57">
        <v>1654165.0</v>
      </c>
      <c r="F5" s="57">
        <f>IFERROR(SUMIF('Log Ricariche'!$B:$B,E5,'Log Ricariche'!$C:$C),0)</f>
        <v>10</v>
      </c>
      <c r="G5" s="57"/>
      <c r="H5" s="57">
        <f>IFERROR(SUMIF('Log Utilizzi'!$B:$B,E5,'Log Utilizzi'!$C:$C),0)</f>
        <v>6</v>
      </c>
      <c r="I5" s="57">
        <f t="shared" si="1"/>
        <v>4</v>
      </c>
      <c r="J5" s="57" t="str">
        <f>IF(I5&lt;=Impostazioni!$B$1, "Inviare Avviso", "Sufficienti")</f>
        <v>Inviare Avviso</v>
      </c>
      <c r="K5" s="57" t="s">
        <v>49</v>
      </c>
      <c r="L5" s="62"/>
      <c r="M5" s="62"/>
      <c r="N5" s="62"/>
      <c r="O5" s="62"/>
      <c r="P5" s="62">
        <f t="shared" si="2"/>
        <v>0</v>
      </c>
      <c r="Q5" s="21"/>
      <c r="R5" s="21"/>
      <c r="S5" s="21"/>
      <c r="T5" s="21"/>
    </row>
    <row r="6" ht="42.0" customHeight="1">
      <c r="A6" s="63"/>
      <c r="B6" s="28" t="s">
        <v>51</v>
      </c>
      <c r="C6" s="28" t="s">
        <v>52</v>
      </c>
      <c r="D6" s="28">
        <v>36892.0</v>
      </c>
      <c r="E6" s="28">
        <v>6524940.0</v>
      </c>
      <c r="F6" s="28">
        <f>IF(E6="","",IFERROR(SUMIF('Log Ricariche'!$B:$B,E6,'Log Ricariche'!$C:$C),0))</f>
        <v>10</v>
      </c>
      <c r="G6" s="28"/>
      <c r="H6" s="28">
        <f>IF(E6="","",IFERROR(SUMIF('Log Utilizzi'!$B:$B,E6,'Log Utilizzi'!$C:$C),0))</f>
        <v>0</v>
      </c>
      <c r="I6" s="28">
        <f t="shared" ref="I6:I50" si="3">IF(E6="","",F6-H6)</f>
        <v>10</v>
      </c>
      <c r="J6" s="28" t="str">
        <f>IF(E6="","",IF(I6&lt;=Impostazioni!$B$1,"Inviare Avviso","Sufficienti"))</f>
        <v>Sufficienti</v>
      </c>
      <c r="K6" s="28" t="s">
        <v>49</v>
      </c>
      <c r="L6" s="63"/>
      <c r="M6" s="63"/>
      <c r="N6" s="49" t="s">
        <v>57</v>
      </c>
      <c r="O6" s="49" t="s">
        <v>58</v>
      </c>
      <c r="P6" s="63">
        <f t="shared" ref="P6:P50" si="4">IF(E6="","",IF(L6="Inviato",1,0))</f>
        <v>0</v>
      </c>
      <c r="Q6" s="21"/>
      <c r="R6" s="21"/>
      <c r="S6" s="21"/>
      <c r="T6" s="21"/>
    </row>
    <row r="7" ht="42.0" customHeight="1">
      <c r="A7" s="64"/>
      <c r="B7" s="65"/>
      <c r="C7" s="65"/>
      <c r="D7" s="66"/>
      <c r="E7" s="65"/>
      <c r="F7" s="68" t="str">
        <f>IF(E7="","",IFERROR(SUMIF('Log Ricariche'!$B:$B,E7,'Log Ricariche'!$C:$C),0))</f>
        <v/>
      </c>
      <c r="G7" s="65"/>
      <c r="H7" s="71" t="str">
        <f>IF(E7="","",IFERROR(SUMIF('Log Utilizzi'!$B:$B,E7,'Log Utilizzi'!$C:$C),0))</f>
        <v/>
      </c>
      <c r="I7" s="65" t="str">
        <f t="shared" si="3"/>
        <v/>
      </c>
      <c r="J7" s="65" t="str">
        <f>IF(E7="","",IF(I7&lt;=Impostazioni!$B$1,"Inviare Avviso","Sufficienti"))</f>
        <v/>
      </c>
      <c r="K7" s="65"/>
      <c r="L7" s="64"/>
      <c r="M7" s="64"/>
      <c r="N7" s="64"/>
      <c r="O7" s="64"/>
      <c r="P7" s="64" t="str">
        <f t="shared" si="4"/>
        <v/>
      </c>
      <c r="Q7" s="21"/>
      <c r="R7" s="21"/>
      <c r="S7" s="21"/>
      <c r="T7" s="21"/>
    </row>
    <row r="8" ht="42.0" customHeight="1">
      <c r="A8" s="63"/>
      <c r="B8" s="73"/>
      <c r="C8" s="73"/>
      <c r="D8" s="74"/>
      <c r="E8" s="73"/>
      <c r="F8" s="75" t="str">
        <f>IF(E8="","",IFERROR(SUMIF('Log Ricariche'!$B:$B,E8,'Log Ricariche'!$C:$C),0))</f>
        <v/>
      </c>
      <c r="G8" s="73"/>
      <c r="H8" s="76" t="str">
        <f>IF(E8="","",IFERROR(SUMIF('Log Utilizzi'!$B:$B,E8,'Log Utilizzi'!$C:$C),0))</f>
        <v/>
      </c>
      <c r="I8" s="73" t="str">
        <f t="shared" si="3"/>
        <v/>
      </c>
      <c r="J8" s="73" t="str">
        <f>IF(E8="","",IF(I8&lt;=Impostazioni!$B$1,"Inviare Avviso","Sufficienti"))</f>
        <v/>
      </c>
      <c r="K8" s="73"/>
      <c r="L8" s="63"/>
      <c r="M8" s="63"/>
      <c r="N8" s="63"/>
      <c r="O8" s="63"/>
      <c r="P8" s="63" t="str">
        <f t="shared" si="4"/>
        <v/>
      </c>
      <c r="Q8" s="21"/>
      <c r="R8" s="21"/>
      <c r="S8" s="21"/>
      <c r="T8" s="21"/>
    </row>
    <row r="9" ht="42.0" customHeight="1">
      <c r="A9" s="64"/>
      <c r="B9" s="65"/>
      <c r="C9" s="65"/>
      <c r="D9" s="66"/>
      <c r="E9" s="77"/>
      <c r="F9" s="68" t="str">
        <f>IF(E9="","",IFERROR(SUMIF('Log Ricariche'!$B:$B,E9,'Log Ricariche'!$C:$C),0))</f>
        <v/>
      </c>
      <c r="G9" s="65"/>
      <c r="H9" s="71" t="str">
        <f>IF(E9="","",IFERROR(SUMIF('Log Utilizzi'!$B:$B,E9,'Log Utilizzi'!$C:$C),0))</f>
        <v/>
      </c>
      <c r="I9" s="65" t="str">
        <f t="shared" si="3"/>
        <v/>
      </c>
      <c r="J9" s="65" t="str">
        <f>IF(E9="","",IF(I9&lt;=Impostazioni!$B$1,"Inviare Avviso","Sufficienti"))</f>
        <v/>
      </c>
      <c r="K9" s="65"/>
      <c r="L9" s="64"/>
      <c r="M9" s="64"/>
      <c r="N9" s="64"/>
      <c r="O9" s="64"/>
      <c r="P9" s="64" t="str">
        <f t="shared" si="4"/>
        <v/>
      </c>
      <c r="Q9" s="21"/>
      <c r="R9" s="21"/>
      <c r="S9" s="21"/>
      <c r="T9" s="21"/>
    </row>
    <row r="10">
      <c r="A10" s="63"/>
      <c r="B10" s="73"/>
      <c r="C10" s="73"/>
      <c r="D10" s="74"/>
      <c r="E10" s="73"/>
      <c r="F10" s="75" t="str">
        <f>IF(E10="","",IFERROR(SUMIF('Log Ricariche'!$B:$B,E10,'Log Ricariche'!$C:$C),0))</f>
        <v/>
      </c>
      <c r="G10" s="73"/>
      <c r="H10" s="76" t="str">
        <f>IF(E10="","",IFERROR(SUMIF('Log Utilizzi'!$B:$B,E10,'Log Utilizzi'!$C:$C),0))</f>
        <v/>
      </c>
      <c r="I10" s="73" t="str">
        <f t="shared" si="3"/>
        <v/>
      </c>
      <c r="J10" s="73" t="str">
        <f>IF(E10="","",IF(I10&lt;=Impostazioni!$B$1,"Inviare Avviso","Sufficienti"))</f>
        <v/>
      </c>
      <c r="K10" s="73"/>
      <c r="L10" s="63"/>
      <c r="M10" s="63"/>
      <c r="N10" s="63"/>
      <c r="O10" s="63"/>
      <c r="P10" s="63" t="str">
        <f t="shared" si="4"/>
        <v/>
      </c>
      <c r="Q10" s="21"/>
      <c r="R10" s="21"/>
      <c r="S10" s="21"/>
      <c r="T10" s="21"/>
    </row>
    <row r="11">
      <c r="A11" s="64"/>
      <c r="B11" s="65"/>
      <c r="C11" s="65"/>
      <c r="D11" s="66"/>
      <c r="E11" s="65"/>
      <c r="F11" s="68" t="str">
        <f>IF(E11="","",IFERROR(SUMIF('Log Ricariche'!$B:$B,E11,'Log Ricariche'!$C:$C),0))</f>
        <v/>
      </c>
      <c r="G11" s="65"/>
      <c r="H11" s="71" t="str">
        <f>IF(E11="","",IFERROR(SUMIF('Log Utilizzi'!$B:$B,E11,'Log Utilizzi'!$C:$C),0))</f>
        <v/>
      </c>
      <c r="I11" s="65" t="str">
        <f t="shared" si="3"/>
        <v/>
      </c>
      <c r="J11" s="65" t="str">
        <f>IF(E11="","",IF(I11&lt;=Impostazioni!$B$1,"Inviare Avviso","Sufficienti"))</f>
        <v/>
      </c>
      <c r="K11" s="65"/>
      <c r="L11" s="64"/>
      <c r="M11" s="64"/>
      <c r="N11" s="64"/>
      <c r="O11" s="64"/>
      <c r="P11" s="64" t="str">
        <f t="shared" si="4"/>
        <v/>
      </c>
      <c r="Q11" s="21"/>
      <c r="R11" s="21"/>
      <c r="S11" s="21"/>
      <c r="T11" s="21"/>
    </row>
    <row r="12">
      <c r="A12" s="63"/>
      <c r="B12" s="73"/>
      <c r="C12" s="73"/>
      <c r="D12" s="74"/>
      <c r="E12" s="73"/>
      <c r="F12" s="75" t="str">
        <f>IF(E12="","",IFERROR(SUMIF('Log Ricariche'!$B:$B,E12,'Log Ricariche'!$C:$C),0))</f>
        <v/>
      </c>
      <c r="G12" s="73"/>
      <c r="H12" s="76" t="str">
        <f>IF(E12="","",IFERROR(SUMIF('Log Utilizzi'!$B:$B,E12,'Log Utilizzi'!$C:$C),0))</f>
        <v/>
      </c>
      <c r="I12" s="73" t="str">
        <f t="shared" si="3"/>
        <v/>
      </c>
      <c r="J12" s="73" t="str">
        <f>IF(E12="","",IF(I12&lt;=Impostazioni!$B$1,"Inviare Avviso","Sufficienti"))</f>
        <v/>
      </c>
      <c r="K12" s="73"/>
      <c r="L12" s="63"/>
      <c r="M12" s="63"/>
      <c r="N12" s="63"/>
      <c r="O12" s="63"/>
      <c r="P12" s="63" t="str">
        <f t="shared" si="4"/>
        <v/>
      </c>
      <c r="Q12" s="21"/>
      <c r="R12" s="21"/>
      <c r="S12" s="21"/>
      <c r="T12" s="21"/>
    </row>
    <row r="13">
      <c r="A13" s="64"/>
      <c r="B13" s="65"/>
      <c r="C13" s="65"/>
      <c r="D13" s="66"/>
      <c r="E13" s="65"/>
      <c r="F13" s="68" t="str">
        <f>IF(E13="","",IFERROR(SUMIF('Log Ricariche'!$B:$B,E13,'Log Ricariche'!$C:$C),0))</f>
        <v/>
      </c>
      <c r="G13" s="65"/>
      <c r="H13" s="71" t="str">
        <f>IF(E13="","",IFERROR(SUMIF('Log Utilizzi'!$B:$B,E13,'Log Utilizzi'!$C:$C),0))</f>
        <v/>
      </c>
      <c r="I13" s="65" t="str">
        <f t="shared" si="3"/>
        <v/>
      </c>
      <c r="J13" s="65" t="str">
        <f>IF(E13="","",IF(I13&lt;=Impostazioni!$B$1,"Inviare Avviso","Sufficienti"))</f>
        <v/>
      </c>
      <c r="K13" s="65"/>
      <c r="L13" s="64"/>
      <c r="M13" s="64"/>
      <c r="N13" s="64"/>
      <c r="O13" s="64"/>
      <c r="P13" s="64" t="str">
        <f t="shared" si="4"/>
        <v/>
      </c>
      <c r="Q13" s="21"/>
      <c r="R13" s="21"/>
      <c r="S13" s="21"/>
      <c r="T13" s="21"/>
    </row>
    <row r="14">
      <c r="A14" s="63"/>
      <c r="B14" s="73"/>
      <c r="C14" s="73"/>
      <c r="D14" s="74"/>
      <c r="E14" s="73"/>
      <c r="F14" s="75" t="str">
        <f>IF(E14="","",IFERROR(SUMIF('Log Ricariche'!$B:$B,E14,'Log Ricariche'!$C:$C),0))</f>
        <v/>
      </c>
      <c r="G14" s="73"/>
      <c r="H14" s="76" t="str">
        <f>IF(E14="","",IFERROR(SUMIF('Log Utilizzi'!$B:$B,E14,'Log Utilizzi'!$C:$C),0))</f>
        <v/>
      </c>
      <c r="I14" s="73" t="str">
        <f t="shared" si="3"/>
        <v/>
      </c>
      <c r="J14" s="73" t="str">
        <f>IF(E14="","",IF(I14&lt;=Impostazioni!$B$1,"Inviare Avviso","Sufficienti"))</f>
        <v/>
      </c>
      <c r="K14" s="73"/>
      <c r="L14" s="63"/>
      <c r="M14" s="63"/>
      <c r="N14" s="63"/>
      <c r="O14" s="63"/>
      <c r="P14" s="63" t="str">
        <f t="shared" si="4"/>
        <v/>
      </c>
      <c r="Q14" s="21"/>
      <c r="R14" s="21"/>
      <c r="S14" s="21"/>
      <c r="T14" s="21"/>
    </row>
    <row r="15">
      <c r="A15" s="64"/>
      <c r="B15" s="65"/>
      <c r="C15" s="65"/>
      <c r="D15" s="66"/>
      <c r="E15" s="65"/>
      <c r="F15" s="68" t="str">
        <f>IF(E15="","",IFERROR(SUMIF('Log Ricariche'!$B:$B,E15,'Log Ricariche'!$C:$C),0))</f>
        <v/>
      </c>
      <c r="G15" s="65"/>
      <c r="H15" s="71" t="str">
        <f>IF(E15="","",IFERROR(SUMIF('Log Utilizzi'!$B:$B,E15,'Log Utilizzi'!$C:$C),0))</f>
        <v/>
      </c>
      <c r="I15" s="65" t="str">
        <f t="shared" si="3"/>
        <v/>
      </c>
      <c r="J15" s="65" t="str">
        <f>IF(E15="","",IF(I15&lt;=Impostazioni!$B$1,"Inviare Avviso","Sufficienti"))</f>
        <v/>
      </c>
      <c r="K15" s="65"/>
      <c r="L15" s="64"/>
      <c r="M15" s="64"/>
      <c r="N15" s="64"/>
      <c r="O15" s="64"/>
      <c r="P15" s="64" t="str">
        <f t="shared" si="4"/>
        <v/>
      </c>
      <c r="Q15" s="21"/>
      <c r="R15" s="21"/>
      <c r="S15" s="21"/>
      <c r="T15" s="21"/>
    </row>
    <row r="16">
      <c r="A16" s="63"/>
      <c r="B16" s="73"/>
      <c r="C16" s="73"/>
      <c r="D16" s="74"/>
      <c r="E16" s="73"/>
      <c r="F16" s="75" t="str">
        <f>IF(E16="","",IFERROR(SUMIF('Log Ricariche'!$B:$B,E16,'Log Ricariche'!$C:$C),0))</f>
        <v/>
      </c>
      <c r="G16" s="73"/>
      <c r="H16" s="76" t="str">
        <f>IF(E16="","",IFERROR(SUMIF('Log Utilizzi'!$B:$B,E16,'Log Utilizzi'!$C:$C),0))</f>
        <v/>
      </c>
      <c r="I16" s="73" t="str">
        <f t="shared" si="3"/>
        <v/>
      </c>
      <c r="J16" s="73" t="str">
        <f>IF(E16="","",IF(I16&lt;=Impostazioni!$B$1,"Inviare Avviso","Sufficienti"))</f>
        <v/>
      </c>
      <c r="K16" s="73"/>
      <c r="L16" s="63"/>
      <c r="M16" s="63"/>
      <c r="N16" s="63"/>
      <c r="O16" s="63"/>
      <c r="P16" s="63" t="str">
        <f t="shared" si="4"/>
        <v/>
      </c>
      <c r="Q16" s="21"/>
      <c r="R16" s="21"/>
      <c r="S16" s="21"/>
      <c r="T16" s="21"/>
    </row>
    <row r="17">
      <c r="A17" s="64"/>
      <c r="B17" s="65"/>
      <c r="C17" s="65"/>
      <c r="D17" s="66"/>
      <c r="E17" s="65"/>
      <c r="F17" s="68" t="str">
        <f>IF(E17="","",IFERROR(SUMIF('Log Ricariche'!$B:$B,E17,'Log Ricariche'!$C:$C),0))</f>
        <v/>
      </c>
      <c r="G17" s="65"/>
      <c r="H17" s="71" t="str">
        <f>IF(E17="","",IFERROR(SUMIF('Log Utilizzi'!$B:$B,E17,'Log Utilizzi'!$C:$C),0))</f>
        <v/>
      </c>
      <c r="I17" s="65" t="str">
        <f t="shared" si="3"/>
        <v/>
      </c>
      <c r="J17" s="65" t="str">
        <f>IF(E17="","",IF(I17&lt;=Impostazioni!$B$1,"Inviare Avviso","Sufficienti"))</f>
        <v/>
      </c>
      <c r="K17" s="65"/>
      <c r="L17" s="64"/>
      <c r="M17" s="64"/>
      <c r="N17" s="64"/>
      <c r="O17" s="64"/>
      <c r="P17" s="64" t="str">
        <f t="shared" si="4"/>
        <v/>
      </c>
      <c r="Q17" s="21"/>
      <c r="R17" s="21"/>
      <c r="S17" s="21"/>
      <c r="T17" s="21"/>
    </row>
    <row r="18">
      <c r="A18" s="63"/>
      <c r="B18" s="73"/>
      <c r="C18" s="73"/>
      <c r="D18" s="74"/>
      <c r="E18" s="73"/>
      <c r="F18" s="75" t="str">
        <f>IF(E18="","",IFERROR(SUMIF('Log Ricariche'!$B:$B,E18,'Log Ricariche'!$C:$C),0))</f>
        <v/>
      </c>
      <c r="G18" s="73"/>
      <c r="H18" s="76" t="str">
        <f>IF(E18="","",IFERROR(SUMIF('Log Utilizzi'!$B:$B,E18,'Log Utilizzi'!$C:$C),0))</f>
        <v/>
      </c>
      <c r="I18" s="73" t="str">
        <f t="shared" si="3"/>
        <v/>
      </c>
      <c r="J18" s="73" t="str">
        <f>IF(E18="","",IF(I18&lt;=Impostazioni!$B$1,"Inviare Avviso","Sufficienti"))</f>
        <v/>
      </c>
      <c r="K18" s="73"/>
      <c r="L18" s="63"/>
      <c r="M18" s="63"/>
      <c r="N18" s="63"/>
      <c r="O18" s="63"/>
      <c r="P18" s="63" t="str">
        <f t="shared" si="4"/>
        <v/>
      </c>
      <c r="Q18" s="21"/>
      <c r="R18" s="21"/>
      <c r="S18" s="21"/>
      <c r="T18" s="21"/>
    </row>
    <row r="19">
      <c r="A19" s="64"/>
      <c r="B19" s="65"/>
      <c r="C19" s="65"/>
      <c r="D19" s="66"/>
      <c r="E19" s="65"/>
      <c r="F19" s="68" t="str">
        <f>IF(E19="","",IFERROR(SUMIF('Log Ricariche'!$B:$B,E19,'Log Ricariche'!$C:$C),0))</f>
        <v/>
      </c>
      <c r="G19" s="65"/>
      <c r="H19" s="71" t="str">
        <f>IF(E19="","",IFERROR(SUMIF('Log Utilizzi'!$B:$B,E19,'Log Utilizzi'!$C:$C),0))</f>
        <v/>
      </c>
      <c r="I19" s="65" t="str">
        <f t="shared" si="3"/>
        <v/>
      </c>
      <c r="J19" s="65" t="str">
        <f>IF(E19="","",IF(I19&lt;=Impostazioni!$B$1,"Inviare Avviso","Sufficienti"))</f>
        <v/>
      </c>
      <c r="K19" s="65"/>
      <c r="L19" s="64"/>
      <c r="M19" s="64"/>
      <c r="N19" s="64"/>
      <c r="O19" s="64"/>
      <c r="P19" s="64" t="str">
        <f t="shared" si="4"/>
        <v/>
      </c>
      <c r="Q19" s="21"/>
      <c r="R19" s="21"/>
      <c r="S19" s="21"/>
      <c r="T19" s="21"/>
    </row>
    <row r="20">
      <c r="A20" s="63"/>
      <c r="B20" s="73"/>
      <c r="C20" s="73"/>
      <c r="D20" s="74"/>
      <c r="E20" s="73"/>
      <c r="F20" s="75" t="str">
        <f>IF(E20="","",IFERROR(SUMIF('Log Ricariche'!$B:$B,E20,'Log Ricariche'!$C:$C),0))</f>
        <v/>
      </c>
      <c r="G20" s="73"/>
      <c r="H20" s="76" t="str">
        <f>IF(E20="","",IFERROR(SUMIF('Log Utilizzi'!$B:$B,E20,'Log Utilizzi'!$C:$C),0))</f>
        <v/>
      </c>
      <c r="I20" s="73" t="str">
        <f t="shared" si="3"/>
        <v/>
      </c>
      <c r="J20" s="73" t="str">
        <f>IF(E20="","",IF(I20&lt;=Impostazioni!$B$1,"Inviare Avviso","Sufficienti"))</f>
        <v/>
      </c>
      <c r="K20" s="73"/>
      <c r="L20" s="63"/>
      <c r="M20" s="63"/>
      <c r="N20" s="63"/>
      <c r="O20" s="63"/>
      <c r="P20" s="63" t="str">
        <f t="shared" si="4"/>
        <v/>
      </c>
      <c r="Q20" s="21"/>
      <c r="R20" s="21"/>
      <c r="S20" s="21"/>
      <c r="T20" s="21"/>
    </row>
    <row r="21">
      <c r="A21" s="64"/>
      <c r="B21" s="65"/>
      <c r="C21" s="65"/>
      <c r="D21" s="66"/>
      <c r="E21" s="65"/>
      <c r="F21" s="68" t="str">
        <f>IF(E21="","",IFERROR(SUMIF('Log Ricariche'!$B:$B,E21,'Log Ricariche'!$C:$C),0))</f>
        <v/>
      </c>
      <c r="G21" s="65"/>
      <c r="H21" s="71" t="str">
        <f>IF(E21="","",IFERROR(SUMIF('Log Utilizzi'!$B:$B,E21,'Log Utilizzi'!$C:$C),0))</f>
        <v/>
      </c>
      <c r="I21" s="65" t="str">
        <f t="shared" si="3"/>
        <v/>
      </c>
      <c r="J21" s="65" t="str">
        <f>IF(E21="","",IF(I21&lt;=Impostazioni!$B$1,"Inviare Avviso","Sufficienti"))</f>
        <v/>
      </c>
      <c r="K21" s="65"/>
      <c r="L21" s="64"/>
      <c r="M21" s="64"/>
      <c r="N21" s="64"/>
      <c r="O21" s="64"/>
      <c r="P21" s="64" t="str">
        <f t="shared" si="4"/>
        <v/>
      </c>
      <c r="Q21" s="21"/>
      <c r="R21" s="21"/>
      <c r="S21" s="21"/>
      <c r="T21" s="21"/>
    </row>
    <row r="22">
      <c r="A22" s="63"/>
      <c r="B22" s="73"/>
      <c r="C22" s="73"/>
      <c r="D22" s="74"/>
      <c r="E22" s="73"/>
      <c r="F22" s="75" t="str">
        <f>IF(E22="","",IFERROR(SUMIF('Log Ricariche'!$B:$B,E22,'Log Ricariche'!$C:$C),0))</f>
        <v/>
      </c>
      <c r="G22" s="73"/>
      <c r="H22" s="76" t="str">
        <f>IF(E22="","",IFERROR(SUMIF('Log Utilizzi'!$B:$B,E22,'Log Utilizzi'!$C:$C),0))</f>
        <v/>
      </c>
      <c r="I22" s="73" t="str">
        <f t="shared" si="3"/>
        <v/>
      </c>
      <c r="J22" s="73" t="str">
        <f>IF(E22="","",IF(I22&lt;=Impostazioni!$B$1,"Inviare Avviso","Sufficienti"))</f>
        <v/>
      </c>
      <c r="K22" s="73"/>
      <c r="L22" s="63"/>
      <c r="M22" s="63"/>
      <c r="N22" s="63"/>
      <c r="O22" s="63"/>
      <c r="P22" s="63" t="str">
        <f t="shared" si="4"/>
        <v/>
      </c>
      <c r="Q22" s="21"/>
      <c r="R22" s="21"/>
      <c r="S22" s="21"/>
      <c r="T22" s="21"/>
    </row>
    <row r="23">
      <c r="A23" s="64"/>
      <c r="B23" s="65"/>
      <c r="C23" s="65"/>
      <c r="D23" s="66"/>
      <c r="E23" s="65"/>
      <c r="F23" s="68" t="str">
        <f>IF(E23="","",IFERROR(SUMIF('Log Ricariche'!$B:$B,E23,'Log Ricariche'!$C:$C),0))</f>
        <v/>
      </c>
      <c r="G23" s="65"/>
      <c r="H23" s="71" t="str">
        <f>IF(E23="","",IFERROR(SUMIF('Log Utilizzi'!$B:$B,E23,'Log Utilizzi'!$C:$C),0))</f>
        <v/>
      </c>
      <c r="I23" s="65" t="str">
        <f t="shared" si="3"/>
        <v/>
      </c>
      <c r="J23" s="65" t="str">
        <f>IF(E23="","",IF(I23&lt;=Impostazioni!$B$1,"Inviare Avviso","Sufficienti"))</f>
        <v/>
      </c>
      <c r="K23" s="65"/>
      <c r="L23" s="64"/>
      <c r="M23" s="64"/>
      <c r="N23" s="64"/>
      <c r="O23" s="64"/>
      <c r="P23" s="64" t="str">
        <f t="shared" si="4"/>
        <v/>
      </c>
      <c r="Q23" s="21"/>
      <c r="R23" s="21"/>
      <c r="S23" s="21"/>
      <c r="T23" s="21"/>
    </row>
    <row r="24">
      <c r="A24" s="63"/>
      <c r="B24" s="73"/>
      <c r="C24" s="73"/>
      <c r="D24" s="74"/>
      <c r="E24" s="73"/>
      <c r="F24" s="75" t="str">
        <f>IF(E24="","",IFERROR(SUMIF('Log Ricariche'!$B:$B,E24,'Log Ricariche'!$C:$C),0))</f>
        <v/>
      </c>
      <c r="G24" s="73"/>
      <c r="H24" s="76" t="str">
        <f>IF(E24="","",IFERROR(SUMIF('Log Utilizzi'!$B:$B,E24,'Log Utilizzi'!$C:$C),0))</f>
        <v/>
      </c>
      <c r="I24" s="73" t="str">
        <f t="shared" si="3"/>
        <v/>
      </c>
      <c r="J24" s="73" t="str">
        <f>IF(E24="","",IF(I24&lt;=Impostazioni!$B$1,"Inviare Avviso","Sufficienti"))</f>
        <v/>
      </c>
      <c r="K24" s="73"/>
      <c r="L24" s="63"/>
      <c r="M24" s="63"/>
      <c r="N24" s="63"/>
      <c r="O24" s="63"/>
      <c r="P24" s="63" t="str">
        <f t="shared" si="4"/>
        <v/>
      </c>
      <c r="Q24" s="21"/>
      <c r="R24" s="21"/>
      <c r="S24" s="21"/>
      <c r="T24" s="21"/>
    </row>
    <row r="25">
      <c r="A25" s="64"/>
      <c r="B25" s="65"/>
      <c r="C25" s="65"/>
      <c r="D25" s="66"/>
      <c r="E25" s="65"/>
      <c r="F25" s="68" t="str">
        <f>IF(E25="","",IFERROR(SUMIF('Log Ricariche'!$B:$B,E25,'Log Ricariche'!$C:$C),0))</f>
        <v/>
      </c>
      <c r="G25" s="65"/>
      <c r="H25" s="71" t="str">
        <f>IF(E25="","",IFERROR(SUMIF('Log Utilizzi'!$B:$B,E25,'Log Utilizzi'!$C:$C),0))</f>
        <v/>
      </c>
      <c r="I25" s="65" t="str">
        <f t="shared" si="3"/>
        <v/>
      </c>
      <c r="J25" s="65" t="str">
        <f>IF(E25="","",IF(I25&lt;=Impostazioni!$B$1,"Inviare Avviso","Sufficienti"))</f>
        <v/>
      </c>
      <c r="K25" s="65"/>
      <c r="L25" s="64"/>
      <c r="M25" s="64"/>
      <c r="N25" s="64"/>
      <c r="O25" s="64"/>
      <c r="P25" s="64" t="str">
        <f t="shared" si="4"/>
        <v/>
      </c>
      <c r="Q25" s="21"/>
      <c r="R25" s="21"/>
      <c r="S25" s="21"/>
      <c r="T25" s="21"/>
    </row>
    <row r="26">
      <c r="A26" s="63"/>
      <c r="B26" s="73"/>
      <c r="C26" s="73"/>
      <c r="D26" s="74"/>
      <c r="E26" s="73"/>
      <c r="F26" s="75" t="str">
        <f>IF(E26="","",IFERROR(SUMIF('Log Ricariche'!$B:$B,E26,'Log Ricariche'!$C:$C),0))</f>
        <v/>
      </c>
      <c r="G26" s="73"/>
      <c r="H26" s="76" t="str">
        <f>IF(E26="","",IFERROR(SUMIF('Log Utilizzi'!$B:$B,E26,'Log Utilizzi'!$C:$C),0))</f>
        <v/>
      </c>
      <c r="I26" s="73" t="str">
        <f t="shared" si="3"/>
        <v/>
      </c>
      <c r="J26" s="73" t="str">
        <f>IF(E26="","",IF(I26&lt;=Impostazioni!$B$1,"Inviare Avviso","Sufficienti"))</f>
        <v/>
      </c>
      <c r="K26" s="73"/>
      <c r="L26" s="63"/>
      <c r="M26" s="63"/>
      <c r="N26" s="63"/>
      <c r="O26" s="63"/>
      <c r="P26" s="63" t="str">
        <f t="shared" si="4"/>
        <v/>
      </c>
      <c r="Q26" s="21"/>
      <c r="R26" s="21"/>
      <c r="S26" s="21"/>
      <c r="T26" s="21"/>
    </row>
    <row r="27">
      <c r="A27" s="64"/>
      <c r="B27" s="65"/>
      <c r="C27" s="65"/>
      <c r="D27" s="66"/>
      <c r="E27" s="65"/>
      <c r="F27" s="68" t="str">
        <f>IF(E27="","",IFERROR(SUMIF('Log Ricariche'!$B:$B,E27,'Log Ricariche'!$C:$C),0))</f>
        <v/>
      </c>
      <c r="G27" s="65"/>
      <c r="H27" s="71" t="str">
        <f>IF(E27="","",IFERROR(SUMIF('Log Utilizzi'!$B:$B,E27,'Log Utilizzi'!$C:$C),0))</f>
        <v/>
      </c>
      <c r="I27" s="65" t="str">
        <f t="shared" si="3"/>
        <v/>
      </c>
      <c r="J27" s="65" t="str">
        <f>IF(E27="","",IF(I27&lt;=Impostazioni!$B$1,"Inviare Avviso","Sufficienti"))</f>
        <v/>
      </c>
      <c r="K27" s="65"/>
      <c r="L27" s="64"/>
      <c r="M27" s="64"/>
      <c r="N27" s="64"/>
      <c r="O27" s="64"/>
      <c r="P27" s="64" t="str">
        <f t="shared" si="4"/>
        <v/>
      </c>
      <c r="Q27" s="21"/>
      <c r="R27" s="21"/>
      <c r="S27" s="21"/>
      <c r="T27" s="21"/>
    </row>
    <row r="28">
      <c r="A28" s="63"/>
      <c r="B28" s="73"/>
      <c r="C28" s="73"/>
      <c r="D28" s="74"/>
      <c r="E28" s="73"/>
      <c r="F28" s="75" t="str">
        <f>IF(E28="","",IFERROR(SUMIF('Log Ricariche'!$B:$B,E28,'Log Ricariche'!$C:$C),0))</f>
        <v/>
      </c>
      <c r="G28" s="73"/>
      <c r="H28" s="76" t="str">
        <f>IF(E28="","",IFERROR(SUMIF('Log Utilizzi'!$B:$B,E28,'Log Utilizzi'!$C:$C),0))</f>
        <v/>
      </c>
      <c r="I28" s="73" t="str">
        <f t="shared" si="3"/>
        <v/>
      </c>
      <c r="J28" s="73" t="str">
        <f>IF(E28="","",IF(I28&lt;=Impostazioni!$B$1,"Inviare Avviso","Sufficienti"))</f>
        <v/>
      </c>
      <c r="K28" s="73"/>
      <c r="L28" s="63"/>
      <c r="M28" s="63"/>
      <c r="N28" s="63"/>
      <c r="O28" s="63"/>
      <c r="P28" s="63" t="str">
        <f t="shared" si="4"/>
        <v/>
      </c>
      <c r="Q28" s="21"/>
      <c r="R28" s="21"/>
      <c r="S28" s="21"/>
      <c r="T28" s="21"/>
    </row>
    <row r="29">
      <c r="A29" s="64"/>
      <c r="B29" s="65"/>
      <c r="C29" s="65"/>
      <c r="D29" s="66"/>
      <c r="E29" s="65"/>
      <c r="F29" s="68" t="str">
        <f>IF(E29="","",IFERROR(SUMIF('Log Ricariche'!$B:$B,E29,'Log Ricariche'!$C:$C),0))</f>
        <v/>
      </c>
      <c r="G29" s="65"/>
      <c r="H29" s="71" t="str">
        <f>IF(E29="","",IFERROR(SUMIF('Log Utilizzi'!$B:$B,E29,'Log Utilizzi'!$C:$C),0))</f>
        <v/>
      </c>
      <c r="I29" s="65" t="str">
        <f t="shared" si="3"/>
        <v/>
      </c>
      <c r="J29" s="65" t="str">
        <f>IF(E29="","",IF(I29&lt;=Impostazioni!$B$1,"Inviare Avviso","Sufficienti"))</f>
        <v/>
      </c>
      <c r="K29" s="65"/>
      <c r="L29" s="64"/>
      <c r="M29" s="64"/>
      <c r="N29" s="64"/>
      <c r="O29" s="64"/>
      <c r="P29" s="64" t="str">
        <f t="shared" si="4"/>
        <v/>
      </c>
      <c r="Q29" s="21"/>
      <c r="R29" s="21"/>
      <c r="S29" s="21"/>
      <c r="T29" s="21"/>
    </row>
    <row r="30">
      <c r="A30" s="63"/>
      <c r="B30" s="73"/>
      <c r="C30" s="73"/>
      <c r="D30" s="74"/>
      <c r="E30" s="73"/>
      <c r="F30" s="75" t="str">
        <f>IF(E30="","",IFERROR(SUMIF('Log Ricariche'!$B:$B,E30,'Log Ricariche'!$C:$C),0))</f>
        <v/>
      </c>
      <c r="G30" s="73"/>
      <c r="H30" s="76" t="str">
        <f>IF(E30="","",IFERROR(SUMIF('Log Utilizzi'!$B:$B,E30,'Log Utilizzi'!$C:$C),0))</f>
        <v/>
      </c>
      <c r="I30" s="73" t="str">
        <f t="shared" si="3"/>
        <v/>
      </c>
      <c r="J30" s="73" t="str">
        <f>IF(E30="","",IF(I30&lt;=Impostazioni!$B$1,"Inviare Avviso","Sufficienti"))</f>
        <v/>
      </c>
      <c r="K30" s="73"/>
      <c r="L30" s="63"/>
      <c r="M30" s="63"/>
      <c r="N30" s="63"/>
      <c r="O30" s="63"/>
      <c r="P30" s="63" t="str">
        <f t="shared" si="4"/>
        <v/>
      </c>
      <c r="Q30" s="21"/>
      <c r="R30" s="21"/>
      <c r="S30" s="21"/>
      <c r="T30" s="21"/>
    </row>
    <row r="31">
      <c r="A31" s="101"/>
      <c r="B31" s="101"/>
      <c r="C31" s="101"/>
      <c r="D31" s="101"/>
      <c r="E31" s="101"/>
      <c r="F31" s="104" t="str">
        <f>IF(E31="","",IFERROR(SUMIF('Log Ricariche'!$B:$B,E31,'Log Ricariche'!$C:$C),0))</f>
        <v/>
      </c>
      <c r="G31" s="101"/>
      <c r="H31" s="109" t="str">
        <f>IF(E31="","",IFERROR(SUMIF('Log Utilizzi'!$B:$B,E31,'Log Utilizzi'!$C:$C),0))</f>
        <v/>
      </c>
      <c r="I31" s="101" t="str">
        <f t="shared" si="3"/>
        <v/>
      </c>
      <c r="J31" s="101" t="str">
        <f>IF(E31="","",IF(I31&lt;=Impostazioni!$B$1,"Inviare Avviso","Sufficienti"))</f>
        <v/>
      </c>
      <c r="K31" s="101"/>
      <c r="L31" s="101"/>
      <c r="M31" s="111"/>
      <c r="N31" s="101"/>
      <c r="O31" s="101"/>
      <c r="P31" s="101" t="str">
        <f t="shared" si="4"/>
        <v/>
      </c>
    </row>
    <row r="32">
      <c r="A32" s="114"/>
      <c r="B32" s="114"/>
      <c r="C32" s="114"/>
      <c r="D32" s="114"/>
      <c r="E32" s="114"/>
      <c r="F32" s="118" t="str">
        <f>IF(E32="","",IFERROR(SUMIF('Log Ricariche'!$B:$B,E32,'Log Ricariche'!$C:$C),0))</f>
        <v/>
      </c>
      <c r="G32" s="114"/>
      <c r="H32" s="121" t="str">
        <f>IF(E32="","",IFERROR(SUMIF('Log Utilizzi'!$B:$B,E32,'Log Utilizzi'!$C:$C),0))</f>
        <v/>
      </c>
      <c r="I32" s="114" t="str">
        <f t="shared" si="3"/>
        <v/>
      </c>
      <c r="J32" s="114" t="str">
        <f>IF(E32="","",IF(I32&lt;=Impostazioni!$B$1,"Inviare Avviso","Sufficienti"))</f>
        <v/>
      </c>
      <c r="K32" s="114"/>
      <c r="L32" s="114"/>
      <c r="M32" s="123"/>
      <c r="N32" s="114"/>
      <c r="O32" s="114"/>
      <c r="P32" s="114" t="str">
        <f t="shared" si="4"/>
        <v/>
      </c>
    </row>
    <row r="33">
      <c r="A33" s="101"/>
      <c r="B33" s="101"/>
      <c r="C33" s="101"/>
      <c r="D33" s="101"/>
      <c r="E33" s="101"/>
      <c r="F33" s="104" t="str">
        <f>IF(E33="","",IFERROR(SUMIF('Log Ricariche'!$B:$B,E33,'Log Ricariche'!$C:$C),0))</f>
        <v/>
      </c>
      <c r="G33" s="101"/>
      <c r="H33" s="109" t="str">
        <f>IF(E33="","",IFERROR(SUMIF('Log Utilizzi'!$B:$B,E33,'Log Utilizzi'!$C:$C),0))</f>
        <v/>
      </c>
      <c r="I33" s="101" t="str">
        <f t="shared" si="3"/>
        <v/>
      </c>
      <c r="J33" s="101" t="str">
        <f>IF(E33="","",IF(I33&lt;=Impostazioni!$B$1,"Inviare Avviso","Sufficienti"))</f>
        <v/>
      </c>
      <c r="K33" s="101"/>
      <c r="L33" s="101"/>
      <c r="M33" s="111"/>
      <c r="N33" s="101"/>
      <c r="O33" s="101"/>
      <c r="P33" s="101" t="str">
        <f t="shared" si="4"/>
        <v/>
      </c>
    </row>
    <row r="34">
      <c r="A34" s="114"/>
      <c r="B34" s="114"/>
      <c r="C34" s="114"/>
      <c r="D34" s="114"/>
      <c r="E34" s="114"/>
      <c r="F34" s="118" t="str">
        <f>IF(E34="","",IFERROR(SUMIF('Log Ricariche'!$B:$B,E34,'Log Ricariche'!$C:$C),0))</f>
        <v/>
      </c>
      <c r="G34" s="114"/>
      <c r="H34" s="121" t="str">
        <f>IF(E34="","",IFERROR(SUMIF('Log Utilizzi'!$B:$B,E34,'Log Utilizzi'!$C:$C),0))</f>
        <v/>
      </c>
      <c r="I34" s="114" t="str">
        <f t="shared" si="3"/>
        <v/>
      </c>
      <c r="J34" s="114" t="str">
        <f>IF(E34="","",IF(I34&lt;=Impostazioni!$B$1,"Inviare Avviso","Sufficienti"))</f>
        <v/>
      </c>
      <c r="K34" s="114"/>
      <c r="L34" s="114"/>
      <c r="M34" s="123"/>
      <c r="N34" s="114"/>
      <c r="O34" s="114"/>
      <c r="P34" s="114" t="str">
        <f t="shared" si="4"/>
        <v/>
      </c>
    </row>
    <row r="35">
      <c r="A35" s="101"/>
      <c r="B35" s="101"/>
      <c r="C35" s="101"/>
      <c r="D35" s="101"/>
      <c r="E35" s="101"/>
      <c r="F35" s="104" t="str">
        <f>IF(E35="","",IFERROR(SUMIF('Log Ricariche'!$B:$B,E35,'Log Ricariche'!$C:$C),0))</f>
        <v/>
      </c>
      <c r="G35" s="101"/>
      <c r="H35" s="109" t="str">
        <f>IF(E35="","",IFERROR(SUMIF('Log Utilizzi'!$B:$B,E35,'Log Utilizzi'!$C:$C),0))</f>
        <v/>
      </c>
      <c r="I35" s="101" t="str">
        <f t="shared" si="3"/>
        <v/>
      </c>
      <c r="J35" s="101" t="str">
        <f>IF(E35="","",IF(I35&lt;=Impostazioni!$B$1,"Inviare Avviso","Sufficienti"))</f>
        <v/>
      </c>
      <c r="K35" s="101"/>
      <c r="L35" s="101"/>
      <c r="M35" s="111"/>
      <c r="N35" s="101"/>
      <c r="O35" s="101"/>
      <c r="P35" s="101" t="str">
        <f t="shared" si="4"/>
        <v/>
      </c>
    </row>
    <row r="36">
      <c r="A36" s="114"/>
      <c r="B36" s="114"/>
      <c r="C36" s="114"/>
      <c r="D36" s="114"/>
      <c r="E36" s="114"/>
      <c r="F36" s="118" t="str">
        <f>IF(E36="","",IFERROR(SUMIF('Log Ricariche'!$B:$B,E36,'Log Ricariche'!$C:$C),0))</f>
        <v/>
      </c>
      <c r="G36" s="114"/>
      <c r="H36" s="121" t="str">
        <f>IF(E36="","",IFERROR(SUMIF('Log Utilizzi'!$B:$B,E36,'Log Utilizzi'!$C:$C),0))</f>
        <v/>
      </c>
      <c r="I36" s="114" t="str">
        <f t="shared" si="3"/>
        <v/>
      </c>
      <c r="J36" s="114" t="str">
        <f>IF(E36="","",IF(I36&lt;=Impostazioni!$B$1,"Inviare Avviso","Sufficienti"))</f>
        <v/>
      </c>
      <c r="K36" s="114"/>
      <c r="L36" s="114"/>
      <c r="M36" s="123"/>
      <c r="N36" s="114"/>
      <c r="O36" s="114"/>
      <c r="P36" s="114" t="str">
        <f t="shared" si="4"/>
        <v/>
      </c>
    </row>
    <row r="37">
      <c r="A37" s="101"/>
      <c r="B37" s="101"/>
      <c r="C37" s="101"/>
      <c r="D37" s="101"/>
      <c r="E37" s="101"/>
      <c r="F37" s="104" t="str">
        <f>IF(E37="","",IFERROR(SUMIF('Log Ricariche'!$B:$B,E37,'Log Ricariche'!$C:$C),0))</f>
        <v/>
      </c>
      <c r="G37" s="101"/>
      <c r="H37" s="109" t="str">
        <f>IF(E37="","",IFERROR(SUMIF('Log Utilizzi'!$B:$B,E37,'Log Utilizzi'!$C:$C),0))</f>
        <v/>
      </c>
      <c r="I37" s="101" t="str">
        <f t="shared" si="3"/>
        <v/>
      </c>
      <c r="J37" s="101" t="str">
        <f>IF(E37="","",IF(I37&lt;=Impostazioni!$B$1,"Inviare Avviso","Sufficienti"))</f>
        <v/>
      </c>
      <c r="K37" s="101"/>
      <c r="L37" s="101"/>
      <c r="M37" s="111"/>
      <c r="N37" s="101"/>
      <c r="O37" s="101"/>
      <c r="P37" s="101" t="str">
        <f t="shared" si="4"/>
        <v/>
      </c>
    </row>
    <row r="38">
      <c r="A38" s="114"/>
      <c r="B38" s="114"/>
      <c r="C38" s="114"/>
      <c r="D38" s="114"/>
      <c r="E38" s="114"/>
      <c r="F38" s="118" t="str">
        <f>IF(E38="","",IFERROR(SUMIF('Log Ricariche'!$B:$B,E38,'Log Ricariche'!$C:$C),0))</f>
        <v/>
      </c>
      <c r="G38" s="114"/>
      <c r="H38" s="121" t="str">
        <f>IF(E38="","",IFERROR(SUMIF('Log Utilizzi'!$B:$B,E38,'Log Utilizzi'!$C:$C),0))</f>
        <v/>
      </c>
      <c r="I38" s="114" t="str">
        <f t="shared" si="3"/>
        <v/>
      </c>
      <c r="J38" s="114" t="str">
        <f>IF(E38="","",IF(I38&lt;=Impostazioni!$B$1,"Inviare Avviso","Sufficienti"))</f>
        <v/>
      </c>
      <c r="K38" s="114"/>
      <c r="L38" s="114"/>
      <c r="M38" s="123"/>
      <c r="N38" s="114"/>
      <c r="O38" s="114"/>
      <c r="P38" s="114" t="str">
        <f t="shared" si="4"/>
        <v/>
      </c>
    </row>
    <row r="39">
      <c r="A39" s="101"/>
      <c r="B39" s="101"/>
      <c r="C39" s="101"/>
      <c r="D39" s="101"/>
      <c r="E39" s="101"/>
      <c r="F39" s="104" t="str">
        <f>IF(E39="","",IFERROR(SUMIF('Log Ricariche'!$B:$B,E39,'Log Ricariche'!$C:$C),0))</f>
        <v/>
      </c>
      <c r="G39" s="101"/>
      <c r="H39" s="109" t="str">
        <f>IF(E39="","",IFERROR(SUMIF('Log Utilizzi'!$B:$B,E39,'Log Utilizzi'!$C:$C),0))</f>
        <v/>
      </c>
      <c r="I39" s="101" t="str">
        <f t="shared" si="3"/>
        <v/>
      </c>
      <c r="J39" s="101" t="str">
        <f>IF(E39="","",IF(I39&lt;=Impostazioni!$B$1,"Inviare Avviso","Sufficienti"))</f>
        <v/>
      </c>
      <c r="K39" s="101"/>
      <c r="L39" s="101"/>
      <c r="M39" s="111"/>
      <c r="N39" s="101"/>
      <c r="O39" s="101"/>
      <c r="P39" s="101" t="str">
        <f t="shared" si="4"/>
        <v/>
      </c>
    </row>
    <row r="40">
      <c r="A40" s="114"/>
      <c r="B40" s="114"/>
      <c r="C40" s="114"/>
      <c r="D40" s="114"/>
      <c r="E40" s="114"/>
      <c r="F40" s="118" t="str">
        <f>IF(E40="","",IFERROR(SUMIF('Log Ricariche'!$B:$B,E40,'Log Ricariche'!$C:$C),0))</f>
        <v/>
      </c>
      <c r="G40" s="114"/>
      <c r="H40" s="121" t="str">
        <f>IF(E40="","",IFERROR(SUMIF('Log Utilizzi'!$B:$B,E40,'Log Utilizzi'!$C:$C),0))</f>
        <v/>
      </c>
      <c r="I40" s="114" t="str">
        <f t="shared" si="3"/>
        <v/>
      </c>
      <c r="J40" s="114" t="str">
        <f>IF(E40="","",IF(I40&lt;=Impostazioni!$B$1,"Inviare Avviso","Sufficienti"))</f>
        <v/>
      </c>
      <c r="K40" s="114"/>
      <c r="L40" s="114"/>
      <c r="M40" s="123"/>
      <c r="N40" s="114"/>
      <c r="O40" s="114"/>
      <c r="P40" s="114" t="str">
        <f t="shared" si="4"/>
        <v/>
      </c>
    </row>
    <row r="41">
      <c r="A41" s="101"/>
      <c r="B41" s="101"/>
      <c r="C41" s="101"/>
      <c r="D41" s="101"/>
      <c r="E41" s="101"/>
      <c r="F41" s="104" t="str">
        <f>IF(E41="","",IFERROR(SUMIF('Log Ricariche'!$B:$B,E41,'Log Ricariche'!$C:$C),0))</f>
        <v/>
      </c>
      <c r="G41" s="101"/>
      <c r="H41" s="109" t="str">
        <f>IF(E41="","",IFERROR(SUMIF('Log Utilizzi'!$B:$B,E41,'Log Utilizzi'!$C:$C),0))</f>
        <v/>
      </c>
      <c r="I41" s="101" t="str">
        <f t="shared" si="3"/>
        <v/>
      </c>
      <c r="J41" s="101" t="str">
        <f>IF(E41="","",IF(I41&lt;=Impostazioni!$B$1,"Inviare Avviso","Sufficienti"))</f>
        <v/>
      </c>
      <c r="K41" s="101"/>
      <c r="L41" s="101"/>
      <c r="M41" s="111"/>
      <c r="N41" s="101"/>
      <c r="O41" s="101"/>
      <c r="P41" s="101" t="str">
        <f t="shared" si="4"/>
        <v/>
      </c>
    </row>
    <row r="42">
      <c r="A42" s="114"/>
      <c r="B42" s="114"/>
      <c r="C42" s="114"/>
      <c r="D42" s="114"/>
      <c r="E42" s="114"/>
      <c r="F42" s="118" t="str">
        <f>IF(E42="","",IFERROR(SUMIF('Log Ricariche'!$B:$B,E42,'Log Ricariche'!$C:$C),0))</f>
        <v/>
      </c>
      <c r="G42" s="114"/>
      <c r="H42" s="121" t="str">
        <f>IF(E42="","",IFERROR(SUMIF('Log Utilizzi'!$B:$B,E42,'Log Utilizzi'!$C:$C),0))</f>
        <v/>
      </c>
      <c r="I42" s="114" t="str">
        <f t="shared" si="3"/>
        <v/>
      </c>
      <c r="J42" s="114" t="str">
        <f>IF(E42="","",IF(I42&lt;=Impostazioni!$B$1,"Inviare Avviso","Sufficienti"))</f>
        <v/>
      </c>
      <c r="K42" s="114"/>
      <c r="L42" s="114"/>
      <c r="M42" s="123"/>
      <c r="N42" s="114"/>
      <c r="O42" s="114"/>
      <c r="P42" s="114" t="str">
        <f t="shared" si="4"/>
        <v/>
      </c>
    </row>
    <row r="43">
      <c r="A43" s="101"/>
      <c r="B43" s="101"/>
      <c r="C43" s="101"/>
      <c r="D43" s="101"/>
      <c r="E43" s="101"/>
      <c r="F43" s="104" t="str">
        <f>IF(E43="","",IFERROR(SUMIF('Log Ricariche'!$B:$B,E43,'Log Ricariche'!$C:$C),0))</f>
        <v/>
      </c>
      <c r="G43" s="101"/>
      <c r="H43" s="109" t="str">
        <f>IF(E43="","",IFERROR(SUMIF('Log Utilizzi'!$B:$B,E43,'Log Utilizzi'!$C:$C),0))</f>
        <v/>
      </c>
      <c r="I43" s="101" t="str">
        <f t="shared" si="3"/>
        <v/>
      </c>
      <c r="J43" s="101" t="str">
        <f>IF(E43="","",IF(I43&lt;=Impostazioni!$B$1,"Inviare Avviso","Sufficienti"))</f>
        <v/>
      </c>
      <c r="K43" s="101"/>
      <c r="L43" s="101"/>
      <c r="M43" s="111"/>
      <c r="N43" s="101"/>
      <c r="O43" s="101"/>
      <c r="P43" s="101" t="str">
        <f t="shared" si="4"/>
        <v/>
      </c>
    </row>
    <row r="44">
      <c r="A44" s="114"/>
      <c r="B44" s="114"/>
      <c r="C44" s="114"/>
      <c r="D44" s="114"/>
      <c r="E44" s="114"/>
      <c r="F44" s="118" t="str">
        <f>IF(E44="","",IFERROR(SUMIF('Log Ricariche'!$B:$B,E44,'Log Ricariche'!$C:$C),0))</f>
        <v/>
      </c>
      <c r="G44" s="114"/>
      <c r="H44" s="121" t="str">
        <f>IF(E44="","",IFERROR(SUMIF('Log Utilizzi'!$B:$B,E44,'Log Utilizzi'!$C:$C),0))</f>
        <v/>
      </c>
      <c r="I44" s="114" t="str">
        <f t="shared" si="3"/>
        <v/>
      </c>
      <c r="J44" s="114" t="str">
        <f>IF(E44="","",IF(I44&lt;=Impostazioni!$B$1,"Inviare Avviso","Sufficienti"))</f>
        <v/>
      </c>
      <c r="K44" s="114"/>
      <c r="L44" s="114"/>
      <c r="M44" s="123"/>
      <c r="N44" s="114"/>
      <c r="O44" s="114"/>
      <c r="P44" s="114" t="str">
        <f t="shared" si="4"/>
        <v/>
      </c>
    </row>
    <row r="45">
      <c r="A45" s="101"/>
      <c r="B45" s="101"/>
      <c r="C45" s="101"/>
      <c r="D45" s="101"/>
      <c r="E45" s="101"/>
      <c r="F45" s="104" t="str">
        <f>IF(E45="","",IFERROR(SUMIF('Log Ricariche'!$B:$B,E45,'Log Ricariche'!$C:$C),0))</f>
        <v/>
      </c>
      <c r="G45" s="101"/>
      <c r="H45" s="109" t="str">
        <f>IF(E45="","",IFERROR(SUMIF('Log Utilizzi'!$B:$B,E45,'Log Utilizzi'!$C:$C),0))</f>
        <v/>
      </c>
      <c r="I45" s="101" t="str">
        <f t="shared" si="3"/>
        <v/>
      </c>
      <c r="J45" s="101" t="str">
        <f>IF(E45="","",IF(I45&lt;=Impostazioni!$B$1,"Inviare Avviso","Sufficienti"))</f>
        <v/>
      </c>
      <c r="K45" s="101"/>
      <c r="L45" s="101"/>
      <c r="M45" s="111"/>
      <c r="N45" s="101"/>
      <c r="O45" s="101"/>
      <c r="P45" s="101" t="str">
        <f t="shared" si="4"/>
        <v/>
      </c>
    </row>
    <row r="46">
      <c r="A46" s="114"/>
      <c r="B46" s="114"/>
      <c r="C46" s="114"/>
      <c r="D46" s="114"/>
      <c r="E46" s="114"/>
      <c r="F46" s="118" t="str">
        <f>IF(E46="","",IFERROR(SUMIF('Log Ricariche'!$B:$B,E46,'Log Ricariche'!$C:$C),0))</f>
        <v/>
      </c>
      <c r="G46" s="114"/>
      <c r="H46" s="121" t="str">
        <f>IF(E46="","",IFERROR(SUMIF('Log Utilizzi'!$B:$B,E46,'Log Utilizzi'!$C:$C),0))</f>
        <v/>
      </c>
      <c r="I46" s="114" t="str">
        <f t="shared" si="3"/>
        <v/>
      </c>
      <c r="J46" s="114" t="str">
        <f>IF(E46="","",IF(I46&lt;=Impostazioni!$B$1,"Inviare Avviso","Sufficienti"))</f>
        <v/>
      </c>
      <c r="K46" s="114"/>
      <c r="L46" s="114"/>
      <c r="M46" s="123"/>
      <c r="N46" s="114"/>
      <c r="O46" s="114"/>
      <c r="P46" s="114" t="str">
        <f t="shared" si="4"/>
        <v/>
      </c>
    </row>
    <row r="47">
      <c r="A47" s="101"/>
      <c r="B47" s="101"/>
      <c r="C47" s="101"/>
      <c r="D47" s="101"/>
      <c r="E47" s="101"/>
      <c r="F47" s="104" t="str">
        <f>IF(E47="","",IFERROR(SUMIF('Log Ricariche'!$B:$B,E47,'Log Ricariche'!$C:$C),0))</f>
        <v/>
      </c>
      <c r="G47" s="101"/>
      <c r="H47" s="109" t="str">
        <f>IF(E47="","",IFERROR(SUMIF('Log Utilizzi'!$B:$B,E47,'Log Utilizzi'!$C:$C),0))</f>
        <v/>
      </c>
      <c r="I47" s="101" t="str">
        <f t="shared" si="3"/>
        <v/>
      </c>
      <c r="J47" s="101" t="str">
        <f>IF(E47="","",IF(I47&lt;=Impostazioni!$B$1,"Inviare Avviso","Sufficienti"))</f>
        <v/>
      </c>
      <c r="K47" s="101"/>
      <c r="L47" s="101"/>
      <c r="M47" s="111"/>
      <c r="N47" s="101"/>
      <c r="O47" s="101"/>
      <c r="P47" s="101" t="str">
        <f t="shared" si="4"/>
        <v/>
      </c>
    </row>
    <row r="48">
      <c r="A48" s="114"/>
      <c r="B48" s="114"/>
      <c r="C48" s="114"/>
      <c r="D48" s="114"/>
      <c r="E48" s="114"/>
      <c r="F48" s="118" t="str">
        <f>IF(E48="","",IFERROR(SUMIF('Log Ricariche'!$B:$B,E48,'Log Ricariche'!$C:$C),0))</f>
        <v/>
      </c>
      <c r="G48" s="114"/>
      <c r="H48" s="121" t="str">
        <f>IF(E48="","",IFERROR(SUMIF('Log Utilizzi'!$B:$B,E48,'Log Utilizzi'!$C:$C),0))</f>
        <v/>
      </c>
      <c r="I48" s="114" t="str">
        <f t="shared" si="3"/>
        <v/>
      </c>
      <c r="J48" s="114" t="str">
        <f>IF(E48="","",IF(I48&lt;=Impostazioni!$B$1,"Inviare Avviso","Sufficienti"))</f>
        <v/>
      </c>
      <c r="K48" s="114"/>
      <c r="L48" s="114"/>
      <c r="M48" s="123"/>
      <c r="N48" s="114"/>
      <c r="O48" s="114"/>
      <c r="P48" s="114" t="str">
        <f t="shared" si="4"/>
        <v/>
      </c>
    </row>
    <row r="49">
      <c r="A49" s="101"/>
      <c r="B49" s="101"/>
      <c r="C49" s="101"/>
      <c r="D49" s="101"/>
      <c r="E49" s="101"/>
      <c r="F49" s="104" t="str">
        <f>IF(E49="","",IFERROR(SUMIF('Log Ricariche'!$B:$B,E49,'Log Ricariche'!$C:$C),0))</f>
        <v/>
      </c>
      <c r="G49" s="101"/>
      <c r="H49" s="109" t="str">
        <f>IF(E49="","",IFERROR(SUMIF('Log Utilizzi'!$B:$B,E49,'Log Utilizzi'!$C:$C),0))</f>
        <v/>
      </c>
      <c r="I49" s="101" t="str">
        <f t="shared" si="3"/>
        <v/>
      </c>
      <c r="J49" s="101" t="str">
        <f>IF(E49="","",IF(I49&lt;=Impostazioni!$B$1,"Inviare Avviso","Sufficienti"))</f>
        <v/>
      </c>
      <c r="K49" s="101"/>
      <c r="L49" s="101"/>
      <c r="M49" s="111"/>
      <c r="N49" s="101"/>
      <c r="O49" s="101"/>
      <c r="P49" s="101" t="str">
        <f t="shared" si="4"/>
        <v/>
      </c>
    </row>
    <row r="50">
      <c r="A50" s="114"/>
      <c r="B50" s="114"/>
      <c r="C50" s="114"/>
      <c r="D50" s="114"/>
      <c r="E50" s="114"/>
      <c r="F50" s="118" t="str">
        <f>IF(E50="","",IFERROR(SUMIF('Log Ricariche'!$B:$B,E50,'Log Ricariche'!$C:$C),0))</f>
        <v/>
      </c>
      <c r="G50" s="114"/>
      <c r="H50" s="121" t="str">
        <f>IF(E50="","",IFERROR(SUMIF('Log Utilizzi'!$B:$B,E50,'Log Utilizzi'!$C:$C),0))</f>
        <v/>
      </c>
      <c r="I50" s="114" t="str">
        <f t="shared" si="3"/>
        <v/>
      </c>
      <c r="J50" s="114" t="str">
        <f>IF(E50="","",IF(I50&lt;=Impostazioni!$B$1,"Inviare Avviso","Sufficienti"))</f>
        <v/>
      </c>
      <c r="K50" s="114"/>
      <c r="L50" s="114"/>
      <c r="M50" s="123"/>
      <c r="N50" s="114"/>
      <c r="O50" s="114"/>
      <c r="P50" s="114" t="str">
        <f t="shared" si="4"/>
        <v/>
      </c>
    </row>
    <row r="51">
      <c r="A51" s="101"/>
      <c r="B51" s="101"/>
      <c r="C51" s="101"/>
      <c r="D51" s="101"/>
      <c r="E51" s="101"/>
      <c r="F51" s="104"/>
      <c r="G51" s="101"/>
      <c r="H51" s="109"/>
      <c r="I51" s="101"/>
      <c r="J51" s="101"/>
      <c r="K51" s="101"/>
      <c r="L51" s="101"/>
      <c r="M51" s="111"/>
      <c r="N51" s="101"/>
      <c r="O51" s="101"/>
      <c r="P51" s="101"/>
    </row>
    <row r="52">
      <c r="A52" s="114"/>
      <c r="B52" s="114"/>
      <c r="C52" s="114"/>
      <c r="D52" s="114"/>
      <c r="E52" s="114"/>
      <c r="F52" s="118"/>
      <c r="G52" s="114"/>
      <c r="H52" s="121"/>
      <c r="I52" s="114"/>
      <c r="J52" s="114"/>
      <c r="K52" s="114"/>
      <c r="L52" s="114"/>
      <c r="M52" s="123"/>
      <c r="N52" s="114"/>
      <c r="O52" s="114"/>
      <c r="P52" s="114"/>
    </row>
    <row r="53">
      <c r="A53" s="101"/>
      <c r="B53" s="101"/>
      <c r="C53" s="101"/>
      <c r="D53" s="101"/>
      <c r="E53" s="101"/>
      <c r="F53" s="104"/>
      <c r="G53" s="101"/>
      <c r="H53" s="109"/>
      <c r="I53" s="101"/>
      <c r="J53" s="101"/>
      <c r="K53" s="101"/>
      <c r="L53" s="101"/>
      <c r="M53" s="111"/>
      <c r="N53" s="101"/>
      <c r="O53" s="101"/>
      <c r="P53" s="101"/>
    </row>
    <row r="54">
      <c r="A54" s="114"/>
      <c r="B54" s="114"/>
      <c r="C54" s="114"/>
      <c r="D54" s="114"/>
      <c r="E54" s="114"/>
      <c r="F54" s="118"/>
      <c r="G54" s="114"/>
      <c r="H54" s="121"/>
      <c r="I54" s="114"/>
      <c r="J54" s="114"/>
      <c r="K54" s="114"/>
      <c r="L54" s="114"/>
      <c r="M54" s="123"/>
      <c r="N54" s="114"/>
      <c r="O54" s="114"/>
      <c r="P54" s="114"/>
    </row>
    <row r="55">
      <c r="A55" s="101"/>
      <c r="B55" s="101"/>
      <c r="C55" s="101"/>
      <c r="D55" s="101"/>
      <c r="E55" s="101"/>
      <c r="F55" s="104"/>
      <c r="G55" s="101"/>
      <c r="H55" s="109"/>
      <c r="I55" s="101"/>
      <c r="J55" s="101"/>
      <c r="K55" s="101"/>
      <c r="L55" s="101"/>
      <c r="M55" s="111"/>
      <c r="N55" s="101"/>
      <c r="O55" s="101"/>
      <c r="P55" s="101"/>
    </row>
    <row r="56">
      <c r="A56" s="114"/>
      <c r="B56" s="114"/>
      <c r="C56" s="114"/>
      <c r="D56" s="114"/>
      <c r="E56" s="114"/>
      <c r="F56" s="118"/>
      <c r="G56" s="114"/>
      <c r="H56" s="121"/>
      <c r="I56" s="114"/>
      <c r="J56" s="114"/>
      <c r="K56" s="114"/>
      <c r="L56" s="114"/>
      <c r="M56" s="123"/>
      <c r="N56" s="114"/>
      <c r="O56" s="114"/>
      <c r="P56" s="114"/>
    </row>
    <row r="57">
      <c r="A57" s="101"/>
      <c r="B57" s="101"/>
      <c r="C57" s="101"/>
      <c r="D57" s="101"/>
      <c r="E57" s="101"/>
      <c r="F57" s="104"/>
      <c r="G57" s="101"/>
      <c r="H57" s="109"/>
      <c r="I57" s="101"/>
      <c r="J57" s="101"/>
      <c r="K57" s="101"/>
      <c r="L57" s="101"/>
      <c r="M57" s="111"/>
      <c r="N57" s="101"/>
      <c r="O57" s="101"/>
      <c r="P57" s="101"/>
    </row>
    <row r="58">
      <c r="A58" s="114"/>
      <c r="B58" s="114"/>
      <c r="C58" s="114"/>
      <c r="D58" s="114"/>
      <c r="E58" s="114"/>
      <c r="F58" s="118"/>
      <c r="G58" s="114"/>
      <c r="H58" s="121"/>
      <c r="I58" s="114"/>
      <c r="J58" s="114"/>
      <c r="K58" s="114"/>
      <c r="L58" s="114"/>
      <c r="M58" s="123"/>
      <c r="N58" s="114"/>
      <c r="O58" s="114"/>
      <c r="P58" s="114"/>
    </row>
    <row r="59">
      <c r="A59" s="101"/>
      <c r="B59" s="101"/>
      <c r="C59" s="101"/>
      <c r="D59" s="101"/>
      <c r="E59" s="101"/>
      <c r="F59" s="104"/>
      <c r="G59" s="101"/>
      <c r="H59" s="109"/>
      <c r="I59" s="101"/>
      <c r="J59" s="101"/>
      <c r="K59" s="101"/>
      <c r="L59" s="101"/>
      <c r="M59" s="111"/>
      <c r="N59" s="101"/>
      <c r="O59" s="101"/>
      <c r="P59" s="101"/>
    </row>
    <row r="60">
      <c r="A60" s="114"/>
      <c r="B60" s="114"/>
      <c r="C60" s="114"/>
      <c r="D60" s="114"/>
      <c r="E60" s="114"/>
      <c r="F60" s="118"/>
      <c r="G60" s="114"/>
      <c r="H60" s="121"/>
      <c r="I60" s="114"/>
      <c r="J60" s="114"/>
      <c r="K60" s="114"/>
      <c r="L60" s="114"/>
      <c r="M60" s="123"/>
      <c r="N60" s="114"/>
      <c r="O60" s="114"/>
      <c r="P60" s="114"/>
    </row>
    <row r="61">
      <c r="A61" s="101"/>
      <c r="B61" s="101"/>
      <c r="C61" s="101"/>
      <c r="D61" s="101"/>
      <c r="E61" s="101"/>
      <c r="F61" s="104"/>
      <c r="G61" s="101"/>
      <c r="H61" s="109"/>
      <c r="I61" s="101"/>
      <c r="J61" s="101"/>
      <c r="K61" s="101"/>
      <c r="L61" s="101"/>
      <c r="M61" s="111"/>
      <c r="N61" s="101"/>
      <c r="O61" s="101"/>
      <c r="P61" s="101"/>
    </row>
    <row r="62">
      <c r="A62" s="114"/>
      <c r="B62" s="114"/>
      <c r="C62" s="114"/>
      <c r="D62" s="114"/>
      <c r="E62" s="114"/>
      <c r="F62" s="118"/>
      <c r="G62" s="114"/>
      <c r="H62" s="121"/>
      <c r="I62" s="114"/>
      <c r="J62" s="114"/>
      <c r="K62" s="114"/>
      <c r="L62" s="114"/>
      <c r="M62" s="123"/>
      <c r="N62" s="114"/>
      <c r="O62" s="114"/>
      <c r="P62" s="114"/>
    </row>
    <row r="63">
      <c r="A63" s="101"/>
      <c r="B63" s="101"/>
      <c r="C63" s="101"/>
      <c r="D63" s="101"/>
      <c r="E63" s="101"/>
      <c r="F63" s="104"/>
      <c r="G63" s="101"/>
      <c r="H63" s="109"/>
      <c r="I63" s="101"/>
      <c r="J63" s="101"/>
      <c r="K63" s="101"/>
      <c r="L63" s="101"/>
      <c r="M63" s="111"/>
      <c r="N63" s="101"/>
      <c r="O63" s="101"/>
      <c r="P63" s="101"/>
    </row>
    <row r="64">
      <c r="A64" s="114"/>
      <c r="B64" s="114"/>
      <c r="C64" s="114"/>
      <c r="D64" s="114"/>
      <c r="E64" s="114"/>
      <c r="F64" s="118"/>
      <c r="G64" s="114"/>
      <c r="H64" s="121"/>
      <c r="I64" s="114"/>
      <c r="J64" s="114"/>
      <c r="K64" s="114"/>
      <c r="L64" s="114"/>
      <c r="M64" s="123"/>
      <c r="N64" s="114"/>
      <c r="O64" s="114"/>
      <c r="P64" s="114"/>
    </row>
    <row r="65">
      <c r="A65" s="101"/>
      <c r="B65" s="101"/>
      <c r="C65" s="101"/>
      <c r="D65" s="101"/>
      <c r="E65" s="101"/>
      <c r="F65" s="104"/>
      <c r="G65" s="101"/>
      <c r="H65" s="109"/>
      <c r="I65" s="101"/>
      <c r="J65" s="101"/>
      <c r="K65" s="101"/>
      <c r="L65" s="101"/>
      <c r="M65" s="111"/>
      <c r="N65" s="101"/>
      <c r="O65" s="101"/>
      <c r="P65" s="101"/>
    </row>
    <row r="66">
      <c r="A66" s="114"/>
      <c r="B66" s="114"/>
      <c r="C66" s="114"/>
      <c r="D66" s="114"/>
      <c r="E66" s="114"/>
      <c r="F66" s="118"/>
      <c r="G66" s="114"/>
      <c r="H66" s="121"/>
      <c r="I66" s="114"/>
      <c r="J66" s="114"/>
      <c r="K66" s="114"/>
      <c r="L66" s="114"/>
      <c r="M66" s="123"/>
      <c r="N66" s="114"/>
      <c r="O66" s="114"/>
      <c r="P66" s="114"/>
    </row>
    <row r="67">
      <c r="A67" s="101"/>
      <c r="B67" s="101"/>
      <c r="C67" s="101"/>
      <c r="D67" s="101"/>
      <c r="E67" s="101"/>
      <c r="F67" s="104"/>
      <c r="G67" s="101"/>
      <c r="H67" s="109"/>
      <c r="I67" s="101"/>
      <c r="J67" s="101"/>
      <c r="K67" s="101"/>
      <c r="L67" s="101"/>
      <c r="M67" s="111"/>
      <c r="N67" s="101"/>
      <c r="O67" s="101"/>
      <c r="P67" s="101"/>
    </row>
    <row r="68">
      <c r="A68" s="114"/>
      <c r="B68" s="114"/>
      <c r="C68" s="114"/>
      <c r="D68" s="114"/>
      <c r="E68" s="114"/>
      <c r="F68" s="118"/>
      <c r="G68" s="114"/>
      <c r="H68" s="121"/>
      <c r="I68" s="114"/>
      <c r="J68" s="114"/>
      <c r="K68" s="114"/>
      <c r="L68" s="114"/>
      <c r="M68" s="123"/>
      <c r="N68" s="114"/>
      <c r="O68" s="114"/>
      <c r="P68" s="114"/>
    </row>
    <row r="69">
      <c r="A69" s="101"/>
      <c r="B69" s="101"/>
      <c r="C69" s="101"/>
      <c r="D69" s="101"/>
      <c r="E69" s="101"/>
      <c r="F69" s="104"/>
      <c r="G69" s="101"/>
      <c r="H69" s="109"/>
      <c r="I69" s="101"/>
      <c r="J69" s="101"/>
      <c r="K69" s="101"/>
      <c r="L69" s="101"/>
      <c r="M69" s="111"/>
      <c r="N69" s="101"/>
      <c r="O69" s="101"/>
      <c r="P69" s="101"/>
    </row>
    <row r="70">
      <c r="A70" s="114"/>
      <c r="B70" s="114"/>
      <c r="C70" s="114"/>
      <c r="D70" s="114"/>
      <c r="E70" s="114"/>
      <c r="F70" s="118"/>
      <c r="G70" s="114"/>
      <c r="H70" s="121"/>
      <c r="I70" s="114"/>
      <c r="J70" s="114"/>
      <c r="K70" s="114"/>
      <c r="L70" s="114"/>
      <c r="M70" s="123"/>
      <c r="N70" s="114"/>
      <c r="O70" s="114"/>
      <c r="P70" s="114"/>
    </row>
    <row r="71">
      <c r="A71" s="101"/>
      <c r="B71" s="101"/>
      <c r="C71" s="101"/>
      <c r="D71" s="101"/>
      <c r="E71" s="101"/>
      <c r="F71" s="104"/>
      <c r="G71" s="101"/>
      <c r="H71" s="109"/>
      <c r="I71" s="101"/>
      <c r="J71" s="101"/>
      <c r="K71" s="101"/>
      <c r="L71" s="101"/>
      <c r="M71" s="111"/>
      <c r="N71" s="101"/>
      <c r="O71" s="101"/>
      <c r="P71" s="101"/>
    </row>
    <row r="72">
      <c r="A72" s="114"/>
      <c r="B72" s="114"/>
      <c r="C72" s="114"/>
      <c r="D72" s="114"/>
      <c r="E72" s="114"/>
      <c r="F72" s="118"/>
      <c r="G72" s="114"/>
      <c r="H72" s="121"/>
      <c r="I72" s="114"/>
      <c r="J72" s="114"/>
      <c r="K72" s="114"/>
      <c r="L72" s="114"/>
      <c r="M72" s="123"/>
      <c r="N72" s="114"/>
      <c r="O72" s="114"/>
      <c r="P72" s="114"/>
    </row>
    <row r="73">
      <c r="A73" s="101"/>
      <c r="B73" s="101"/>
      <c r="C73" s="101"/>
      <c r="D73" s="101"/>
      <c r="E73" s="101"/>
      <c r="F73" s="104"/>
      <c r="G73" s="101"/>
      <c r="H73" s="109"/>
      <c r="I73" s="101"/>
      <c r="J73" s="101"/>
      <c r="K73" s="101"/>
      <c r="L73" s="101"/>
      <c r="M73" s="111"/>
      <c r="N73" s="101"/>
      <c r="O73" s="101"/>
      <c r="P73" s="101"/>
    </row>
    <row r="74">
      <c r="A74" s="114"/>
      <c r="B74" s="114"/>
      <c r="C74" s="114"/>
      <c r="D74" s="114"/>
      <c r="E74" s="114"/>
      <c r="F74" s="118"/>
      <c r="G74" s="114"/>
      <c r="H74" s="121"/>
      <c r="I74" s="114"/>
      <c r="J74" s="114"/>
      <c r="K74" s="114"/>
      <c r="L74" s="114"/>
      <c r="M74" s="123"/>
      <c r="N74" s="114"/>
      <c r="O74" s="114"/>
      <c r="P74" s="114"/>
    </row>
    <row r="75">
      <c r="A75" s="101"/>
      <c r="B75" s="101"/>
      <c r="C75" s="101"/>
      <c r="D75" s="101"/>
      <c r="E75" s="101"/>
      <c r="F75" s="104"/>
      <c r="G75" s="101"/>
      <c r="H75" s="109"/>
      <c r="I75" s="101"/>
      <c r="J75" s="101"/>
      <c r="K75" s="101"/>
      <c r="L75" s="101"/>
      <c r="M75" s="111"/>
      <c r="N75" s="101"/>
      <c r="O75" s="101"/>
      <c r="P75" s="101"/>
    </row>
    <row r="76">
      <c r="A76" s="114"/>
      <c r="B76" s="114"/>
      <c r="C76" s="114"/>
      <c r="D76" s="114"/>
      <c r="E76" s="114"/>
      <c r="F76" s="118"/>
      <c r="G76" s="114"/>
      <c r="H76" s="121"/>
      <c r="I76" s="114"/>
      <c r="J76" s="114"/>
      <c r="K76" s="114"/>
      <c r="L76" s="114"/>
      <c r="M76" s="123"/>
      <c r="N76" s="114"/>
      <c r="O76" s="114"/>
      <c r="P76" s="114"/>
    </row>
    <row r="77">
      <c r="A77" s="101"/>
      <c r="B77" s="101"/>
      <c r="C77" s="101"/>
      <c r="D77" s="101"/>
      <c r="E77" s="101"/>
      <c r="F77" s="104"/>
      <c r="G77" s="101"/>
      <c r="H77" s="109"/>
      <c r="I77" s="101"/>
      <c r="J77" s="101"/>
      <c r="K77" s="101"/>
      <c r="L77" s="101"/>
      <c r="M77" s="111"/>
      <c r="N77" s="101"/>
      <c r="O77" s="101"/>
      <c r="P77" s="101"/>
    </row>
    <row r="78">
      <c r="A78" s="114"/>
      <c r="B78" s="114"/>
      <c r="C78" s="114"/>
      <c r="D78" s="114"/>
      <c r="E78" s="114"/>
      <c r="F78" s="118"/>
      <c r="G78" s="114"/>
      <c r="H78" s="121"/>
      <c r="I78" s="114"/>
      <c r="J78" s="114"/>
      <c r="K78" s="114"/>
      <c r="L78" s="114"/>
      <c r="M78" s="123"/>
      <c r="N78" s="114"/>
      <c r="O78" s="114"/>
      <c r="P78" s="114"/>
    </row>
    <row r="79">
      <c r="A79" s="101"/>
      <c r="B79" s="101"/>
      <c r="C79" s="101"/>
      <c r="D79" s="101"/>
      <c r="E79" s="101"/>
      <c r="F79" s="104"/>
      <c r="G79" s="101"/>
      <c r="H79" s="109"/>
      <c r="I79" s="101"/>
      <c r="J79" s="101"/>
      <c r="K79" s="101"/>
      <c r="L79" s="101"/>
      <c r="M79" s="111"/>
      <c r="N79" s="101"/>
      <c r="O79" s="101"/>
      <c r="P79" s="101"/>
    </row>
    <row r="80">
      <c r="A80" s="114"/>
      <c r="B80" s="114"/>
      <c r="C80" s="114"/>
      <c r="D80" s="114"/>
      <c r="E80" s="114"/>
      <c r="F80" s="118"/>
      <c r="G80" s="114"/>
      <c r="H80" s="121"/>
      <c r="I80" s="114"/>
      <c r="J80" s="114"/>
      <c r="K80" s="114"/>
      <c r="L80" s="114"/>
      <c r="M80" s="123"/>
      <c r="N80" s="114"/>
      <c r="O80" s="114"/>
      <c r="P80" s="114"/>
    </row>
    <row r="81">
      <c r="A81" s="101"/>
      <c r="B81" s="101"/>
      <c r="C81" s="101"/>
      <c r="D81" s="101"/>
      <c r="E81" s="101"/>
      <c r="F81" s="104"/>
      <c r="G81" s="101"/>
      <c r="H81" s="109"/>
      <c r="I81" s="101"/>
      <c r="J81" s="101"/>
      <c r="K81" s="101"/>
      <c r="L81" s="101"/>
      <c r="M81" s="111"/>
      <c r="N81" s="101"/>
      <c r="O81" s="101"/>
      <c r="P81" s="101"/>
    </row>
    <row r="82">
      <c r="A82" s="114"/>
      <c r="B82" s="114"/>
      <c r="C82" s="114"/>
      <c r="D82" s="114"/>
      <c r="E82" s="114"/>
      <c r="F82" s="118"/>
      <c r="G82" s="114"/>
      <c r="H82" s="121"/>
      <c r="I82" s="114"/>
      <c r="J82" s="114"/>
      <c r="K82" s="114"/>
      <c r="L82" s="114"/>
      <c r="M82" s="123"/>
      <c r="N82" s="114"/>
      <c r="O82" s="114"/>
      <c r="P82" s="114"/>
    </row>
    <row r="83">
      <c r="A83" s="101"/>
      <c r="B83" s="101"/>
      <c r="C83" s="101"/>
      <c r="D83" s="101"/>
      <c r="E83" s="101"/>
      <c r="F83" s="104"/>
      <c r="G83" s="101"/>
      <c r="H83" s="109"/>
      <c r="I83" s="101"/>
      <c r="J83" s="101"/>
      <c r="K83" s="101"/>
      <c r="L83" s="101"/>
      <c r="M83" s="111"/>
      <c r="N83" s="101"/>
      <c r="O83" s="101"/>
      <c r="P83" s="101"/>
    </row>
    <row r="84">
      <c r="A84" s="114"/>
      <c r="B84" s="114"/>
      <c r="C84" s="114"/>
      <c r="D84" s="114"/>
      <c r="E84" s="114"/>
      <c r="F84" s="118"/>
      <c r="G84" s="114"/>
      <c r="H84" s="121"/>
      <c r="I84" s="114"/>
      <c r="J84" s="114"/>
      <c r="K84" s="114"/>
      <c r="L84" s="114"/>
      <c r="M84" s="123"/>
      <c r="N84" s="114"/>
      <c r="O84" s="114"/>
      <c r="P84" s="114"/>
    </row>
    <row r="85">
      <c r="A85" s="101"/>
      <c r="B85" s="101"/>
      <c r="C85" s="101"/>
      <c r="D85" s="101"/>
      <c r="E85" s="101"/>
      <c r="F85" s="104"/>
      <c r="G85" s="101"/>
      <c r="H85" s="109"/>
      <c r="I85" s="101"/>
      <c r="J85" s="101"/>
      <c r="K85" s="101"/>
      <c r="L85" s="101"/>
      <c r="M85" s="111"/>
      <c r="N85" s="101"/>
      <c r="O85" s="101"/>
      <c r="P85" s="101"/>
    </row>
    <row r="86">
      <c r="A86" s="114"/>
      <c r="B86" s="114"/>
      <c r="C86" s="114"/>
      <c r="D86" s="114"/>
      <c r="E86" s="114"/>
      <c r="F86" s="118"/>
      <c r="G86" s="114"/>
      <c r="H86" s="121"/>
      <c r="I86" s="114"/>
      <c r="J86" s="114"/>
      <c r="K86" s="114"/>
      <c r="L86" s="114"/>
      <c r="M86" s="123"/>
      <c r="N86" s="114"/>
      <c r="O86" s="114"/>
      <c r="P86" s="114"/>
    </row>
    <row r="87">
      <c r="A87" s="101"/>
      <c r="B87" s="101"/>
      <c r="C87" s="101"/>
      <c r="D87" s="101"/>
      <c r="E87" s="101"/>
      <c r="F87" s="104"/>
      <c r="G87" s="101"/>
      <c r="H87" s="109"/>
      <c r="I87" s="101"/>
      <c r="J87" s="101"/>
      <c r="K87" s="101"/>
      <c r="L87" s="101"/>
      <c r="M87" s="111"/>
      <c r="N87" s="101"/>
      <c r="O87" s="101"/>
      <c r="P87" s="101"/>
    </row>
    <row r="88">
      <c r="A88" s="114"/>
      <c r="B88" s="114"/>
      <c r="C88" s="114"/>
      <c r="D88" s="114"/>
      <c r="E88" s="114"/>
      <c r="F88" s="118"/>
      <c r="G88" s="114"/>
      <c r="H88" s="121"/>
      <c r="I88" s="114"/>
      <c r="J88" s="114"/>
      <c r="K88" s="114"/>
      <c r="L88" s="114"/>
      <c r="M88" s="123"/>
      <c r="N88" s="114"/>
      <c r="O88" s="114"/>
      <c r="P88" s="114"/>
    </row>
    <row r="89">
      <c r="A89" s="101"/>
      <c r="B89" s="101"/>
      <c r="C89" s="101"/>
      <c r="D89" s="101"/>
      <c r="E89" s="101"/>
      <c r="F89" s="104"/>
      <c r="G89" s="101"/>
      <c r="H89" s="109"/>
      <c r="I89" s="101"/>
      <c r="J89" s="101"/>
      <c r="K89" s="101"/>
      <c r="L89" s="101"/>
      <c r="M89" s="111"/>
      <c r="N89" s="101"/>
      <c r="O89" s="101"/>
      <c r="P89" s="101"/>
    </row>
    <row r="90">
      <c r="A90" s="114"/>
      <c r="B90" s="114"/>
      <c r="C90" s="114"/>
      <c r="D90" s="114"/>
      <c r="E90" s="114"/>
      <c r="F90" s="118"/>
      <c r="G90" s="114"/>
      <c r="H90" s="121"/>
      <c r="I90" s="114"/>
      <c r="J90" s="114"/>
      <c r="K90" s="114"/>
      <c r="L90" s="114"/>
      <c r="M90" s="123"/>
      <c r="N90" s="114"/>
      <c r="O90" s="114"/>
      <c r="P90" s="114"/>
    </row>
    <row r="91">
      <c r="A91" s="101"/>
      <c r="B91" s="101"/>
      <c r="C91" s="101"/>
      <c r="D91" s="101"/>
      <c r="E91" s="101"/>
      <c r="F91" s="104"/>
      <c r="G91" s="101"/>
      <c r="H91" s="109"/>
      <c r="I91" s="101"/>
      <c r="J91" s="101"/>
      <c r="K91" s="101"/>
      <c r="L91" s="101"/>
      <c r="M91" s="111"/>
      <c r="N91" s="101"/>
      <c r="O91" s="101"/>
      <c r="P91" s="101"/>
    </row>
    <row r="92">
      <c r="A92" s="114"/>
      <c r="B92" s="114"/>
      <c r="C92" s="114"/>
      <c r="D92" s="114"/>
      <c r="E92" s="114"/>
      <c r="F92" s="118"/>
      <c r="G92" s="114"/>
      <c r="H92" s="121"/>
      <c r="I92" s="114"/>
      <c r="J92" s="114"/>
      <c r="K92" s="114"/>
      <c r="L92" s="114"/>
      <c r="M92" s="123"/>
      <c r="N92" s="114"/>
      <c r="O92" s="114"/>
      <c r="P92" s="114"/>
    </row>
    <row r="93">
      <c r="A93" s="101"/>
      <c r="B93" s="101"/>
      <c r="C93" s="101"/>
      <c r="D93" s="101"/>
      <c r="E93" s="101"/>
      <c r="F93" s="104"/>
      <c r="G93" s="101"/>
      <c r="H93" s="109"/>
      <c r="I93" s="101"/>
      <c r="J93" s="101"/>
      <c r="K93" s="101"/>
      <c r="L93" s="101"/>
      <c r="M93" s="111"/>
      <c r="N93" s="101"/>
      <c r="O93" s="101"/>
      <c r="P93" s="101"/>
    </row>
    <row r="94">
      <c r="A94" s="114"/>
      <c r="B94" s="114"/>
      <c r="C94" s="114"/>
      <c r="D94" s="114"/>
      <c r="E94" s="114"/>
      <c r="F94" s="118"/>
      <c r="G94" s="114"/>
      <c r="H94" s="121"/>
      <c r="I94" s="114"/>
      <c r="J94" s="114"/>
      <c r="K94" s="114"/>
      <c r="L94" s="114"/>
      <c r="M94" s="123"/>
      <c r="N94" s="114"/>
      <c r="O94" s="114"/>
      <c r="P94" s="114"/>
    </row>
    <row r="95">
      <c r="A95" s="179"/>
      <c r="F95" s="180"/>
      <c r="H95" s="181"/>
      <c r="M95" s="182"/>
    </row>
    <row r="96">
      <c r="A96" s="179"/>
      <c r="F96" s="180"/>
      <c r="H96" s="181"/>
      <c r="M96" s="182"/>
    </row>
    <row r="97">
      <c r="A97" s="179"/>
      <c r="F97" s="180"/>
      <c r="H97" s="181"/>
      <c r="M97" s="182"/>
    </row>
    <row r="98">
      <c r="A98" s="179"/>
      <c r="F98" s="180"/>
      <c r="H98" s="181"/>
      <c r="M98" s="182"/>
    </row>
    <row r="99">
      <c r="A99" s="179"/>
      <c r="F99" s="180"/>
      <c r="H99" s="181"/>
      <c r="M99" s="182"/>
    </row>
    <row r="100">
      <c r="A100" s="179"/>
      <c r="F100" s="180"/>
      <c r="H100" s="181"/>
      <c r="M100" s="182"/>
    </row>
    <row r="101">
      <c r="A101" s="179"/>
      <c r="F101" s="180"/>
      <c r="H101" s="181"/>
      <c r="M101" s="182"/>
    </row>
    <row r="102">
      <c r="A102" s="179"/>
      <c r="F102" s="180"/>
      <c r="H102" s="181"/>
      <c r="M102" s="182"/>
    </row>
    <row r="103">
      <c r="A103" s="179"/>
      <c r="F103" s="180"/>
      <c r="H103" s="181"/>
      <c r="M103" s="182"/>
    </row>
    <row r="104">
      <c r="A104" s="179"/>
      <c r="F104" s="180"/>
      <c r="H104" s="181"/>
      <c r="M104" s="182"/>
    </row>
    <row r="105">
      <c r="A105" s="179"/>
      <c r="F105" s="180"/>
      <c r="H105" s="181"/>
      <c r="M105" s="182"/>
    </row>
    <row r="106">
      <c r="A106" s="179"/>
      <c r="F106" s="180"/>
      <c r="H106" s="181"/>
      <c r="M106" s="182"/>
    </row>
    <row r="107">
      <c r="A107" s="179"/>
      <c r="F107" s="180"/>
      <c r="H107" s="181"/>
      <c r="M107" s="182"/>
    </row>
    <row r="108">
      <c r="A108" s="179"/>
      <c r="F108" s="180"/>
      <c r="H108" s="181"/>
      <c r="M108" s="182"/>
    </row>
    <row r="109">
      <c r="A109" s="179"/>
      <c r="F109" s="180"/>
      <c r="H109" s="181"/>
      <c r="M109" s="182"/>
    </row>
    <row r="110">
      <c r="A110" s="179"/>
      <c r="F110" s="180"/>
      <c r="H110" s="181"/>
      <c r="M110" s="182"/>
    </row>
    <row r="111">
      <c r="A111" s="179"/>
      <c r="F111" s="180"/>
      <c r="H111" s="181"/>
      <c r="M111" s="182"/>
    </row>
    <row r="112">
      <c r="A112" s="179"/>
      <c r="F112" s="180"/>
      <c r="H112" s="181"/>
      <c r="M112" s="182"/>
    </row>
    <row r="113">
      <c r="A113" s="179"/>
      <c r="F113" s="180"/>
      <c r="H113" s="181"/>
      <c r="M113" s="182"/>
    </row>
    <row r="114">
      <c r="A114" s="179"/>
      <c r="F114" s="180"/>
      <c r="H114" s="181"/>
      <c r="M114" s="182"/>
    </row>
    <row r="115">
      <c r="A115" s="179"/>
      <c r="F115" s="180"/>
      <c r="H115" s="181"/>
      <c r="M115" s="182"/>
    </row>
    <row r="116">
      <c r="A116" s="179"/>
      <c r="F116" s="180"/>
      <c r="H116" s="181"/>
      <c r="M116" s="182"/>
    </row>
    <row r="117">
      <c r="A117" s="179"/>
      <c r="F117" s="180"/>
      <c r="H117" s="181"/>
      <c r="M117" s="182"/>
    </row>
    <row r="118">
      <c r="A118" s="179"/>
      <c r="F118" s="180"/>
      <c r="H118" s="181"/>
      <c r="M118" s="182"/>
    </row>
    <row r="119">
      <c r="A119" s="179"/>
      <c r="F119" s="180"/>
      <c r="H119" s="181"/>
      <c r="M119" s="182"/>
    </row>
    <row r="120">
      <c r="A120" s="179"/>
      <c r="F120" s="180"/>
      <c r="H120" s="181"/>
      <c r="M120" s="182"/>
    </row>
    <row r="121">
      <c r="A121" s="179"/>
      <c r="F121" s="180"/>
      <c r="H121" s="181"/>
      <c r="M121" s="182"/>
    </row>
    <row r="122">
      <c r="A122" s="179"/>
      <c r="F122" s="180"/>
      <c r="H122" s="181"/>
      <c r="M122" s="182"/>
    </row>
    <row r="123">
      <c r="A123" s="179"/>
      <c r="F123" s="180"/>
      <c r="H123" s="181"/>
      <c r="M123" s="182"/>
    </row>
    <row r="124">
      <c r="A124" s="179"/>
      <c r="F124" s="180"/>
      <c r="H124" s="181"/>
      <c r="M124" s="182"/>
    </row>
    <row r="125">
      <c r="A125" s="179"/>
      <c r="F125" s="180"/>
      <c r="H125" s="181"/>
      <c r="M125" s="182"/>
    </row>
    <row r="126">
      <c r="A126" s="179"/>
      <c r="F126" s="180"/>
      <c r="H126" s="181"/>
      <c r="M126" s="182"/>
    </row>
    <row r="127">
      <c r="A127" s="179"/>
      <c r="F127" s="180"/>
      <c r="H127" s="181"/>
      <c r="M127" s="182"/>
    </row>
    <row r="128">
      <c r="A128" s="179"/>
      <c r="F128" s="180"/>
      <c r="H128" s="181"/>
      <c r="M128" s="182"/>
    </row>
    <row r="129">
      <c r="A129" s="179"/>
      <c r="F129" s="180"/>
      <c r="H129" s="181"/>
      <c r="M129" s="182"/>
    </row>
    <row r="130">
      <c r="A130" s="179"/>
      <c r="F130" s="180"/>
      <c r="H130" s="181"/>
      <c r="M130" s="182"/>
    </row>
    <row r="131">
      <c r="A131" s="179"/>
      <c r="F131" s="180"/>
      <c r="H131" s="181"/>
      <c r="M131" s="182"/>
    </row>
    <row r="132">
      <c r="A132" s="179"/>
      <c r="F132" s="180"/>
      <c r="H132" s="181"/>
      <c r="M132" s="182"/>
    </row>
    <row r="133">
      <c r="A133" s="179"/>
      <c r="F133" s="180"/>
      <c r="H133" s="181"/>
      <c r="M133" s="182"/>
    </row>
    <row r="134">
      <c r="A134" s="179"/>
      <c r="F134" s="180"/>
      <c r="H134" s="181"/>
      <c r="M134" s="182"/>
    </row>
    <row r="135">
      <c r="A135" s="179"/>
      <c r="F135" s="180"/>
      <c r="H135" s="181"/>
      <c r="M135" s="182"/>
    </row>
    <row r="136">
      <c r="A136" s="179"/>
      <c r="F136" s="180"/>
      <c r="H136" s="181"/>
      <c r="M136" s="182"/>
    </row>
    <row r="137">
      <c r="A137" s="179"/>
      <c r="F137" s="180"/>
      <c r="H137" s="181"/>
      <c r="M137" s="182"/>
    </row>
    <row r="138">
      <c r="A138" s="179"/>
      <c r="F138" s="180"/>
      <c r="H138" s="181"/>
      <c r="M138" s="182"/>
    </row>
    <row r="139">
      <c r="A139" s="179"/>
      <c r="F139" s="180"/>
      <c r="H139" s="181"/>
      <c r="M139" s="182"/>
    </row>
    <row r="140">
      <c r="A140" s="179"/>
      <c r="F140" s="180"/>
      <c r="H140" s="181"/>
      <c r="M140" s="182"/>
    </row>
    <row r="141">
      <c r="A141" s="179"/>
      <c r="F141" s="180"/>
      <c r="H141" s="181"/>
      <c r="M141" s="182"/>
    </row>
    <row r="142">
      <c r="A142" s="179"/>
      <c r="F142" s="180"/>
      <c r="H142" s="181"/>
      <c r="M142" s="182"/>
    </row>
    <row r="143">
      <c r="A143" s="179"/>
      <c r="F143" s="180"/>
      <c r="H143" s="181"/>
      <c r="M143" s="182"/>
    </row>
    <row r="144">
      <c r="A144" s="179"/>
      <c r="F144" s="180"/>
      <c r="H144" s="181"/>
      <c r="M144" s="182"/>
    </row>
    <row r="145">
      <c r="A145" s="179"/>
      <c r="F145" s="180"/>
      <c r="H145" s="181"/>
      <c r="M145" s="182"/>
    </row>
    <row r="146">
      <c r="A146" s="179"/>
      <c r="F146" s="180"/>
      <c r="H146" s="181"/>
      <c r="M146" s="182"/>
    </row>
    <row r="147">
      <c r="A147" s="179"/>
      <c r="F147" s="180"/>
      <c r="H147" s="181"/>
      <c r="M147" s="182"/>
    </row>
    <row r="148">
      <c r="A148" s="179"/>
      <c r="F148" s="180"/>
      <c r="H148" s="181"/>
      <c r="M148" s="182"/>
    </row>
    <row r="149">
      <c r="A149" s="179"/>
      <c r="F149" s="180"/>
      <c r="H149" s="181"/>
      <c r="M149" s="182"/>
    </row>
    <row r="150">
      <c r="A150" s="179"/>
      <c r="F150" s="180"/>
      <c r="H150" s="181"/>
      <c r="M150" s="182"/>
    </row>
    <row r="151">
      <c r="A151" s="179"/>
      <c r="F151" s="180"/>
      <c r="H151" s="181"/>
      <c r="M151" s="182"/>
    </row>
    <row r="152">
      <c r="A152" s="179"/>
      <c r="F152" s="180"/>
      <c r="H152" s="181"/>
      <c r="M152" s="182"/>
    </row>
    <row r="153">
      <c r="A153" s="179"/>
      <c r="F153" s="180"/>
      <c r="H153" s="181"/>
      <c r="M153" s="182"/>
    </row>
    <row r="154">
      <c r="A154" s="179"/>
      <c r="F154" s="180"/>
      <c r="H154" s="181"/>
      <c r="M154" s="182"/>
    </row>
    <row r="155">
      <c r="A155" s="179"/>
      <c r="F155" s="180"/>
      <c r="H155" s="181"/>
      <c r="M155" s="182"/>
    </row>
    <row r="156">
      <c r="A156" s="179"/>
      <c r="F156" s="180"/>
      <c r="H156" s="181"/>
      <c r="M156" s="182"/>
    </row>
    <row r="157">
      <c r="A157" s="179"/>
      <c r="F157" s="180"/>
      <c r="H157" s="181"/>
      <c r="M157" s="182"/>
    </row>
    <row r="158">
      <c r="A158" s="179"/>
      <c r="F158" s="180"/>
      <c r="H158" s="181"/>
      <c r="M158" s="182"/>
    </row>
    <row r="159">
      <c r="A159" s="179"/>
      <c r="F159" s="180"/>
      <c r="H159" s="181"/>
      <c r="M159" s="182"/>
    </row>
    <row r="160">
      <c r="A160" s="179"/>
      <c r="F160" s="180"/>
      <c r="H160" s="181"/>
      <c r="M160" s="182"/>
    </row>
    <row r="161">
      <c r="A161" s="179"/>
      <c r="F161" s="180"/>
      <c r="H161" s="181"/>
      <c r="M161" s="182"/>
    </row>
    <row r="162">
      <c r="A162" s="179"/>
      <c r="F162" s="180"/>
      <c r="H162" s="181"/>
      <c r="M162" s="182"/>
    </row>
    <row r="163">
      <c r="A163" s="179"/>
      <c r="F163" s="180"/>
      <c r="H163" s="181"/>
      <c r="M163" s="182"/>
    </row>
    <row r="164">
      <c r="A164" s="179"/>
      <c r="F164" s="180"/>
      <c r="H164" s="181"/>
      <c r="M164" s="182"/>
    </row>
    <row r="165">
      <c r="A165" s="179"/>
      <c r="F165" s="180"/>
      <c r="H165" s="181"/>
      <c r="M165" s="182"/>
    </row>
    <row r="166">
      <c r="A166" s="179"/>
      <c r="F166" s="180"/>
      <c r="H166" s="181"/>
      <c r="M166" s="182"/>
    </row>
    <row r="167">
      <c r="A167" s="179"/>
      <c r="F167" s="180"/>
      <c r="H167" s="181"/>
      <c r="M167" s="182"/>
    </row>
    <row r="168">
      <c r="A168" s="179"/>
      <c r="F168" s="180"/>
      <c r="H168" s="181"/>
      <c r="M168" s="182"/>
    </row>
    <row r="169">
      <c r="A169" s="179"/>
      <c r="F169" s="180"/>
      <c r="H169" s="181"/>
      <c r="M169" s="182"/>
    </row>
    <row r="170">
      <c r="A170" s="179"/>
      <c r="F170" s="180"/>
      <c r="H170" s="181"/>
      <c r="M170" s="182"/>
    </row>
    <row r="171">
      <c r="A171" s="179"/>
      <c r="F171" s="180"/>
      <c r="H171" s="181"/>
      <c r="M171" s="182"/>
    </row>
    <row r="172">
      <c r="A172" s="179"/>
      <c r="F172" s="180"/>
      <c r="H172" s="181"/>
      <c r="M172" s="182"/>
    </row>
    <row r="173">
      <c r="A173" s="179"/>
      <c r="F173" s="180"/>
      <c r="H173" s="181"/>
      <c r="M173" s="182"/>
    </row>
    <row r="174">
      <c r="A174" s="179"/>
      <c r="F174" s="180"/>
      <c r="H174" s="181"/>
      <c r="M174" s="182"/>
    </row>
    <row r="175">
      <c r="A175" s="179"/>
      <c r="F175" s="180"/>
      <c r="H175" s="181"/>
      <c r="M175" s="182"/>
    </row>
    <row r="176">
      <c r="A176" s="179"/>
      <c r="F176" s="180"/>
      <c r="H176" s="181"/>
      <c r="M176" s="182"/>
    </row>
    <row r="177">
      <c r="A177" s="179"/>
      <c r="F177" s="180"/>
      <c r="H177" s="181"/>
      <c r="M177" s="182"/>
    </row>
    <row r="178">
      <c r="A178" s="179"/>
      <c r="F178" s="180"/>
      <c r="H178" s="181"/>
      <c r="M178" s="182"/>
    </row>
    <row r="179">
      <c r="A179" s="179"/>
      <c r="F179" s="180"/>
      <c r="H179" s="181"/>
      <c r="M179" s="182"/>
    </row>
    <row r="180">
      <c r="A180" s="179"/>
      <c r="F180" s="180"/>
      <c r="H180" s="181"/>
      <c r="M180" s="182"/>
    </row>
    <row r="181">
      <c r="A181" s="179"/>
      <c r="F181" s="180"/>
      <c r="H181" s="181"/>
      <c r="M181" s="182"/>
    </row>
    <row r="182">
      <c r="A182" s="179"/>
      <c r="F182" s="180"/>
      <c r="H182" s="181"/>
      <c r="M182" s="182"/>
    </row>
    <row r="183">
      <c r="A183" s="179"/>
      <c r="F183" s="180"/>
      <c r="H183" s="181"/>
      <c r="M183" s="182"/>
    </row>
    <row r="184">
      <c r="A184" s="179"/>
      <c r="F184" s="180"/>
      <c r="H184" s="181"/>
      <c r="M184" s="182"/>
    </row>
    <row r="185">
      <c r="A185" s="179"/>
      <c r="F185" s="180"/>
      <c r="H185" s="181"/>
      <c r="M185" s="182"/>
    </row>
    <row r="186">
      <c r="A186" s="179"/>
      <c r="F186" s="180"/>
      <c r="H186" s="181"/>
      <c r="M186" s="182"/>
    </row>
    <row r="187">
      <c r="A187" s="179"/>
      <c r="F187" s="180"/>
      <c r="H187" s="181"/>
      <c r="M187" s="182"/>
    </row>
    <row r="188">
      <c r="A188" s="179"/>
      <c r="F188" s="180"/>
      <c r="H188" s="181"/>
      <c r="M188" s="182"/>
    </row>
    <row r="189">
      <c r="A189" s="179"/>
      <c r="F189" s="180"/>
      <c r="H189" s="181"/>
      <c r="M189" s="182"/>
    </row>
    <row r="190">
      <c r="A190" s="179"/>
      <c r="F190" s="180"/>
      <c r="H190" s="181"/>
      <c r="M190" s="182"/>
    </row>
    <row r="191">
      <c r="A191" s="179"/>
      <c r="F191" s="180"/>
      <c r="H191" s="181"/>
      <c r="M191" s="182"/>
    </row>
    <row r="192">
      <c r="A192" s="179"/>
      <c r="F192" s="180"/>
      <c r="H192" s="181"/>
      <c r="M192" s="182"/>
    </row>
    <row r="193">
      <c r="A193" s="179"/>
      <c r="F193" s="180"/>
      <c r="H193" s="181"/>
      <c r="M193" s="182"/>
    </row>
    <row r="194">
      <c r="A194" s="179"/>
      <c r="F194" s="180"/>
      <c r="H194" s="181"/>
      <c r="M194" s="182"/>
    </row>
    <row r="195">
      <c r="A195" s="179"/>
      <c r="F195" s="180"/>
      <c r="H195" s="181"/>
      <c r="M195" s="182"/>
    </row>
    <row r="196">
      <c r="A196" s="179"/>
      <c r="F196" s="180"/>
      <c r="H196" s="181"/>
      <c r="M196" s="182"/>
    </row>
    <row r="197">
      <c r="A197" s="179"/>
      <c r="F197" s="180"/>
      <c r="H197" s="181"/>
      <c r="M197" s="182"/>
    </row>
    <row r="198">
      <c r="A198" s="179"/>
      <c r="F198" s="180"/>
      <c r="H198" s="181"/>
      <c r="M198" s="182"/>
    </row>
    <row r="199">
      <c r="A199" s="179"/>
      <c r="F199" s="180"/>
      <c r="H199" s="181"/>
      <c r="M199" s="182"/>
    </row>
    <row r="200">
      <c r="A200" s="179"/>
      <c r="F200" s="180"/>
      <c r="H200" s="181"/>
      <c r="M200" s="182"/>
    </row>
    <row r="201">
      <c r="A201" s="179"/>
      <c r="F201" s="180"/>
      <c r="H201" s="181"/>
      <c r="M201" s="182"/>
    </row>
    <row r="202">
      <c r="A202" s="179"/>
      <c r="F202" s="180"/>
      <c r="H202" s="181"/>
      <c r="M202" s="182"/>
    </row>
    <row r="203">
      <c r="A203" s="179"/>
      <c r="F203" s="180"/>
      <c r="H203" s="181"/>
      <c r="M203" s="182"/>
    </row>
    <row r="204">
      <c r="A204" s="179"/>
      <c r="F204" s="180"/>
      <c r="H204" s="181"/>
      <c r="M204" s="182"/>
    </row>
    <row r="205">
      <c r="A205" s="179"/>
      <c r="F205" s="180"/>
      <c r="H205" s="181"/>
      <c r="M205" s="182"/>
    </row>
    <row r="206">
      <c r="A206" s="179"/>
      <c r="F206" s="180"/>
      <c r="H206" s="181"/>
      <c r="M206" s="182"/>
    </row>
    <row r="207">
      <c r="A207" s="179"/>
      <c r="F207" s="180"/>
      <c r="H207" s="181"/>
      <c r="M207" s="182"/>
    </row>
    <row r="208">
      <c r="A208" s="179"/>
      <c r="F208" s="180"/>
      <c r="H208" s="181"/>
      <c r="M208" s="182"/>
    </row>
    <row r="209">
      <c r="A209" s="179"/>
      <c r="F209" s="180"/>
      <c r="H209" s="181"/>
      <c r="M209" s="182"/>
    </row>
    <row r="210">
      <c r="A210" s="179"/>
      <c r="F210" s="180"/>
      <c r="H210" s="181"/>
      <c r="M210" s="182"/>
    </row>
    <row r="211">
      <c r="A211" s="179"/>
      <c r="F211" s="180"/>
      <c r="H211" s="181"/>
      <c r="M211" s="182"/>
    </row>
    <row r="212">
      <c r="A212" s="179"/>
      <c r="F212" s="180"/>
      <c r="H212" s="181"/>
      <c r="M212" s="182"/>
    </row>
    <row r="213">
      <c r="A213" s="179"/>
      <c r="F213" s="180"/>
      <c r="H213" s="181"/>
      <c r="M213" s="182"/>
    </row>
    <row r="214">
      <c r="A214" s="179"/>
      <c r="F214" s="180"/>
      <c r="H214" s="181"/>
      <c r="M214" s="182"/>
    </row>
    <row r="215">
      <c r="A215" s="179"/>
      <c r="F215" s="180"/>
      <c r="H215" s="181"/>
      <c r="M215" s="182"/>
    </row>
    <row r="216">
      <c r="A216" s="179"/>
      <c r="F216" s="180"/>
      <c r="H216" s="181"/>
      <c r="M216" s="182"/>
    </row>
    <row r="217">
      <c r="A217" s="179"/>
      <c r="F217" s="180"/>
      <c r="H217" s="181"/>
      <c r="M217" s="182"/>
    </row>
    <row r="218">
      <c r="A218" s="179"/>
      <c r="F218" s="180"/>
      <c r="H218" s="181"/>
      <c r="M218" s="182"/>
    </row>
    <row r="219">
      <c r="A219" s="179"/>
      <c r="F219" s="180"/>
      <c r="H219" s="181"/>
      <c r="M219" s="182"/>
    </row>
    <row r="220">
      <c r="A220" s="179"/>
      <c r="F220" s="180"/>
      <c r="H220" s="181"/>
      <c r="M220" s="182"/>
    </row>
    <row r="221">
      <c r="A221" s="179"/>
      <c r="F221" s="180"/>
      <c r="H221" s="181"/>
      <c r="M221" s="182"/>
    </row>
    <row r="222">
      <c r="A222" s="179"/>
      <c r="F222" s="180"/>
      <c r="H222" s="181"/>
      <c r="M222" s="182"/>
    </row>
    <row r="223">
      <c r="A223" s="179"/>
      <c r="F223" s="180"/>
      <c r="H223" s="181"/>
      <c r="M223" s="182"/>
    </row>
    <row r="224">
      <c r="A224" s="179"/>
      <c r="F224" s="180"/>
      <c r="H224" s="181"/>
      <c r="M224" s="182"/>
    </row>
    <row r="225">
      <c r="A225" s="179"/>
      <c r="F225" s="180"/>
      <c r="H225" s="181"/>
      <c r="M225" s="182"/>
    </row>
    <row r="226">
      <c r="A226" s="179"/>
      <c r="F226" s="180"/>
      <c r="H226" s="181"/>
      <c r="M226" s="182"/>
    </row>
    <row r="227">
      <c r="A227" s="179"/>
      <c r="F227" s="180"/>
      <c r="H227" s="181"/>
      <c r="M227" s="182"/>
    </row>
    <row r="228">
      <c r="A228" s="179"/>
      <c r="F228" s="180"/>
      <c r="H228" s="181"/>
      <c r="M228" s="182"/>
    </row>
    <row r="229">
      <c r="A229" s="179"/>
      <c r="F229" s="180"/>
      <c r="H229" s="181"/>
      <c r="M229" s="182"/>
    </row>
    <row r="230">
      <c r="A230" s="179"/>
      <c r="F230" s="180"/>
      <c r="H230" s="181"/>
      <c r="M230" s="182"/>
    </row>
    <row r="231">
      <c r="A231" s="179"/>
      <c r="F231" s="180"/>
      <c r="H231" s="181"/>
      <c r="M231" s="182"/>
    </row>
    <row r="232">
      <c r="A232" s="179"/>
      <c r="F232" s="180"/>
      <c r="H232" s="181"/>
      <c r="M232" s="182"/>
    </row>
    <row r="233">
      <c r="A233" s="179"/>
      <c r="F233" s="180"/>
      <c r="H233" s="181"/>
      <c r="M233" s="182"/>
    </row>
    <row r="234">
      <c r="A234" s="179"/>
      <c r="F234" s="180"/>
      <c r="H234" s="181"/>
      <c r="M234" s="182"/>
    </row>
    <row r="235">
      <c r="A235" s="179"/>
      <c r="F235" s="180"/>
      <c r="H235" s="181"/>
      <c r="M235" s="182"/>
    </row>
    <row r="236">
      <c r="A236" s="179"/>
      <c r="F236" s="180"/>
      <c r="H236" s="181"/>
      <c r="M236" s="182"/>
    </row>
    <row r="237">
      <c r="A237" s="179"/>
      <c r="F237" s="180"/>
      <c r="H237" s="181"/>
      <c r="M237" s="182"/>
    </row>
    <row r="238">
      <c r="A238" s="179"/>
      <c r="F238" s="180"/>
      <c r="H238" s="181"/>
      <c r="M238" s="182"/>
    </row>
    <row r="239">
      <c r="A239" s="179"/>
      <c r="F239" s="180"/>
      <c r="H239" s="181"/>
      <c r="M239" s="182"/>
    </row>
    <row r="240">
      <c r="A240" s="179"/>
      <c r="F240" s="180"/>
      <c r="H240" s="181"/>
      <c r="M240" s="182"/>
    </row>
    <row r="241">
      <c r="A241" s="179"/>
      <c r="F241" s="180"/>
      <c r="H241" s="181"/>
      <c r="M241" s="182"/>
    </row>
    <row r="242">
      <c r="A242" s="179"/>
      <c r="F242" s="180"/>
      <c r="H242" s="181"/>
      <c r="M242" s="182"/>
    </row>
    <row r="243">
      <c r="A243" s="179"/>
      <c r="F243" s="180"/>
      <c r="H243" s="181"/>
      <c r="M243" s="182"/>
    </row>
    <row r="244">
      <c r="A244" s="179"/>
      <c r="F244" s="180"/>
      <c r="H244" s="181"/>
      <c r="M244" s="182"/>
    </row>
    <row r="245">
      <c r="A245" s="179"/>
      <c r="F245" s="180"/>
      <c r="H245" s="181"/>
      <c r="M245" s="182"/>
    </row>
    <row r="246">
      <c r="A246" s="179"/>
      <c r="F246" s="180"/>
      <c r="H246" s="181"/>
      <c r="M246" s="182"/>
    </row>
    <row r="247">
      <c r="A247" s="179"/>
      <c r="F247" s="180"/>
      <c r="H247" s="181"/>
      <c r="M247" s="182"/>
    </row>
    <row r="248">
      <c r="A248" s="179"/>
      <c r="F248" s="180"/>
      <c r="H248" s="181"/>
      <c r="M248" s="182"/>
    </row>
    <row r="249">
      <c r="A249" s="179"/>
      <c r="F249" s="180"/>
      <c r="H249" s="181"/>
      <c r="M249" s="182"/>
    </row>
    <row r="250">
      <c r="A250" s="179"/>
      <c r="F250" s="180"/>
      <c r="H250" s="181"/>
      <c r="M250" s="182"/>
    </row>
    <row r="251">
      <c r="A251" s="179"/>
      <c r="F251" s="180"/>
      <c r="H251" s="181"/>
      <c r="M251" s="182"/>
    </row>
    <row r="252">
      <c r="A252" s="179"/>
      <c r="F252" s="180"/>
      <c r="H252" s="181"/>
      <c r="M252" s="182"/>
    </row>
    <row r="253">
      <c r="A253" s="179"/>
      <c r="F253" s="180"/>
      <c r="H253" s="181"/>
      <c r="M253" s="182"/>
    </row>
    <row r="254">
      <c r="A254" s="179"/>
      <c r="F254" s="180"/>
      <c r="H254" s="181"/>
      <c r="M254" s="182"/>
    </row>
    <row r="255">
      <c r="A255" s="179"/>
      <c r="F255" s="180"/>
      <c r="H255" s="181"/>
      <c r="M255" s="182"/>
    </row>
    <row r="256">
      <c r="A256" s="179"/>
      <c r="F256" s="180"/>
      <c r="H256" s="181"/>
      <c r="M256" s="182"/>
    </row>
    <row r="257">
      <c r="A257" s="179"/>
      <c r="F257" s="180"/>
      <c r="H257" s="181"/>
      <c r="M257" s="182"/>
    </row>
    <row r="258">
      <c r="A258" s="179"/>
      <c r="F258" s="180"/>
      <c r="H258" s="181"/>
      <c r="M258" s="182"/>
    </row>
    <row r="259">
      <c r="A259" s="179"/>
      <c r="F259" s="180"/>
      <c r="H259" s="181"/>
      <c r="M259" s="182"/>
    </row>
    <row r="260">
      <c r="A260" s="179"/>
      <c r="F260" s="180"/>
      <c r="H260" s="181"/>
      <c r="M260" s="182"/>
    </row>
    <row r="261">
      <c r="A261" s="179"/>
      <c r="F261" s="180"/>
      <c r="H261" s="181"/>
      <c r="M261" s="182"/>
    </row>
    <row r="262">
      <c r="A262" s="179"/>
      <c r="F262" s="180"/>
      <c r="H262" s="181"/>
      <c r="M262" s="182"/>
    </row>
    <row r="263">
      <c r="A263" s="179"/>
      <c r="F263" s="180"/>
      <c r="H263" s="181"/>
      <c r="M263" s="182"/>
    </row>
    <row r="264">
      <c r="A264" s="179"/>
      <c r="F264" s="180"/>
      <c r="H264" s="181"/>
      <c r="M264" s="182"/>
    </row>
    <row r="265">
      <c r="A265" s="179"/>
      <c r="F265" s="180"/>
      <c r="H265" s="181"/>
      <c r="M265" s="182"/>
    </row>
    <row r="266">
      <c r="A266" s="179"/>
      <c r="F266" s="180"/>
      <c r="H266" s="181"/>
      <c r="M266" s="182"/>
    </row>
    <row r="267">
      <c r="A267" s="179"/>
      <c r="F267" s="180"/>
      <c r="H267" s="181"/>
      <c r="M267" s="182"/>
    </row>
    <row r="268">
      <c r="A268" s="179"/>
      <c r="F268" s="180"/>
      <c r="H268" s="181"/>
      <c r="M268" s="182"/>
    </row>
    <row r="269">
      <c r="A269" s="179"/>
      <c r="F269" s="180"/>
      <c r="H269" s="181"/>
      <c r="M269" s="182"/>
    </row>
    <row r="270">
      <c r="A270" s="179"/>
      <c r="F270" s="180"/>
      <c r="H270" s="181"/>
      <c r="M270" s="182"/>
    </row>
    <row r="271">
      <c r="A271" s="179"/>
      <c r="F271" s="180"/>
      <c r="H271" s="181"/>
      <c r="M271" s="182"/>
    </row>
    <row r="272">
      <c r="A272" s="179"/>
      <c r="F272" s="180"/>
      <c r="H272" s="181"/>
      <c r="M272" s="182"/>
    </row>
    <row r="273">
      <c r="A273" s="179"/>
      <c r="F273" s="180"/>
      <c r="H273" s="181"/>
      <c r="M273" s="182"/>
    </row>
    <row r="274">
      <c r="A274" s="179"/>
      <c r="F274" s="180"/>
      <c r="H274" s="181"/>
      <c r="M274" s="182"/>
    </row>
    <row r="275">
      <c r="A275" s="179"/>
      <c r="F275" s="180"/>
      <c r="H275" s="181"/>
      <c r="M275" s="182"/>
    </row>
    <row r="276">
      <c r="A276" s="179"/>
      <c r="F276" s="180"/>
      <c r="H276" s="181"/>
      <c r="M276" s="182"/>
    </row>
    <row r="277">
      <c r="A277" s="179"/>
      <c r="F277" s="180"/>
      <c r="H277" s="181"/>
      <c r="M277" s="182"/>
    </row>
    <row r="278">
      <c r="A278" s="179"/>
      <c r="F278" s="180"/>
      <c r="H278" s="181"/>
      <c r="M278" s="182"/>
    </row>
    <row r="279">
      <c r="A279" s="179"/>
      <c r="F279" s="180"/>
      <c r="H279" s="181"/>
      <c r="M279" s="182"/>
    </row>
    <row r="280">
      <c r="A280" s="179"/>
      <c r="F280" s="180"/>
      <c r="H280" s="181"/>
      <c r="M280" s="182"/>
    </row>
    <row r="281">
      <c r="A281" s="179"/>
      <c r="F281" s="180"/>
      <c r="H281" s="181"/>
      <c r="M281" s="182"/>
    </row>
    <row r="282">
      <c r="A282" s="179"/>
      <c r="F282" s="180"/>
      <c r="H282" s="181"/>
      <c r="M282" s="182"/>
    </row>
    <row r="283">
      <c r="A283" s="179"/>
      <c r="F283" s="180"/>
      <c r="H283" s="181"/>
      <c r="M283" s="182"/>
    </row>
    <row r="284">
      <c r="A284" s="179"/>
      <c r="F284" s="180"/>
      <c r="H284" s="181"/>
      <c r="M284" s="182"/>
    </row>
    <row r="285">
      <c r="A285" s="179"/>
      <c r="F285" s="180"/>
      <c r="H285" s="181"/>
      <c r="M285" s="182"/>
    </row>
    <row r="286">
      <c r="A286" s="179"/>
      <c r="F286" s="180"/>
      <c r="H286" s="181"/>
      <c r="M286" s="182"/>
    </row>
    <row r="287">
      <c r="A287" s="179"/>
      <c r="F287" s="180"/>
      <c r="H287" s="181"/>
      <c r="M287" s="182"/>
    </row>
    <row r="288">
      <c r="A288" s="179"/>
      <c r="F288" s="180"/>
      <c r="H288" s="181"/>
      <c r="M288" s="182"/>
    </row>
    <row r="289">
      <c r="A289" s="179"/>
      <c r="F289" s="180"/>
      <c r="H289" s="181"/>
      <c r="M289" s="182"/>
    </row>
    <row r="290">
      <c r="A290" s="179"/>
      <c r="F290" s="180"/>
      <c r="H290" s="181"/>
      <c r="M290" s="182"/>
    </row>
    <row r="291">
      <c r="A291" s="179"/>
      <c r="F291" s="180"/>
      <c r="H291" s="181"/>
      <c r="M291" s="182"/>
    </row>
    <row r="292">
      <c r="A292" s="179"/>
      <c r="F292" s="180"/>
      <c r="H292" s="181"/>
      <c r="M292" s="182"/>
    </row>
    <row r="293">
      <c r="A293" s="179"/>
      <c r="F293" s="180"/>
      <c r="H293" s="181"/>
      <c r="M293" s="182"/>
    </row>
    <row r="294">
      <c r="A294" s="179"/>
      <c r="F294" s="180"/>
      <c r="H294" s="181"/>
      <c r="M294" s="182"/>
    </row>
    <row r="295">
      <c r="A295" s="179"/>
      <c r="F295" s="180"/>
      <c r="H295" s="181"/>
      <c r="M295" s="182"/>
    </row>
    <row r="296">
      <c r="A296" s="179"/>
      <c r="F296" s="180"/>
      <c r="H296" s="181"/>
      <c r="M296" s="182"/>
    </row>
    <row r="297">
      <c r="A297" s="179"/>
      <c r="F297" s="180"/>
      <c r="H297" s="181"/>
      <c r="M297" s="182"/>
    </row>
    <row r="298">
      <c r="A298" s="179"/>
      <c r="F298" s="180"/>
      <c r="H298" s="181"/>
      <c r="M298" s="182"/>
    </row>
    <row r="299">
      <c r="A299" s="179"/>
      <c r="F299" s="180"/>
      <c r="H299" s="181"/>
      <c r="M299" s="182"/>
    </row>
    <row r="300">
      <c r="A300" s="179"/>
      <c r="F300" s="180"/>
      <c r="H300" s="181"/>
      <c r="M300" s="182"/>
    </row>
    <row r="301">
      <c r="A301" s="179"/>
      <c r="F301" s="180"/>
      <c r="H301" s="181"/>
      <c r="M301" s="182"/>
    </row>
    <row r="302">
      <c r="A302" s="179"/>
      <c r="F302" s="180"/>
      <c r="H302" s="181"/>
      <c r="M302" s="182"/>
    </row>
    <row r="303">
      <c r="A303" s="179"/>
      <c r="F303" s="180"/>
      <c r="H303" s="181"/>
      <c r="M303" s="182"/>
    </row>
    <row r="304">
      <c r="A304" s="179"/>
      <c r="F304" s="180"/>
      <c r="H304" s="181"/>
      <c r="M304" s="182"/>
    </row>
    <row r="305">
      <c r="A305" s="179"/>
      <c r="F305" s="180"/>
      <c r="H305" s="181"/>
      <c r="M305" s="182"/>
    </row>
    <row r="306">
      <c r="A306" s="179"/>
      <c r="F306" s="180"/>
      <c r="H306" s="181"/>
      <c r="M306" s="182"/>
    </row>
    <row r="307">
      <c r="A307" s="179"/>
      <c r="F307" s="180"/>
      <c r="H307" s="181"/>
      <c r="M307" s="182"/>
    </row>
    <row r="308">
      <c r="A308" s="179"/>
      <c r="F308" s="180"/>
      <c r="H308" s="181"/>
      <c r="M308" s="182"/>
    </row>
    <row r="309">
      <c r="A309" s="179"/>
      <c r="F309" s="180"/>
      <c r="H309" s="181"/>
      <c r="M309" s="182"/>
    </row>
    <row r="310">
      <c r="A310" s="179"/>
      <c r="F310" s="180"/>
      <c r="H310" s="181"/>
      <c r="M310" s="182"/>
    </row>
    <row r="311">
      <c r="A311" s="179"/>
      <c r="F311" s="180"/>
      <c r="H311" s="181"/>
      <c r="M311" s="182"/>
    </row>
    <row r="312">
      <c r="A312" s="179"/>
      <c r="F312" s="180"/>
      <c r="H312" s="181"/>
      <c r="M312" s="182"/>
    </row>
    <row r="313">
      <c r="A313" s="179"/>
      <c r="F313" s="180"/>
      <c r="H313" s="181"/>
      <c r="M313" s="182"/>
    </row>
    <row r="314">
      <c r="A314" s="179"/>
      <c r="F314" s="180"/>
      <c r="H314" s="181"/>
      <c r="M314" s="182"/>
    </row>
    <row r="315">
      <c r="A315" s="179"/>
      <c r="F315" s="180"/>
      <c r="H315" s="181"/>
      <c r="M315" s="182"/>
    </row>
    <row r="316">
      <c r="A316" s="179"/>
      <c r="F316" s="180"/>
      <c r="H316" s="181"/>
      <c r="M316" s="182"/>
    </row>
    <row r="317">
      <c r="A317" s="179"/>
      <c r="F317" s="180"/>
      <c r="H317" s="181"/>
      <c r="M317" s="182"/>
    </row>
    <row r="318">
      <c r="A318" s="179"/>
      <c r="F318" s="180"/>
      <c r="H318" s="181"/>
      <c r="M318" s="182"/>
    </row>
    <row r="319">
      <c r="A319" s="179"/>
      <c r="F319" s="180"/>
      <c r="H319" s="181"/>
      <c r="M319" s="182"/>
    </row>
    <row r="320">
      <c r="A320" s="179"/>
      <c r="F320" s="180"/>
      <c r="H320" s="181"/>
      <c r="M320" s="182"/>
    </row>
    <row r="321">
      <c r="A321" s="179"/>
      <c r="F321" s="180"/>
      <c r="H321" s="181"/>
      <c r="M321" s="182"/>
    </row>
    <row r="322">
      <c r="A322" s="179"/>
      <c r="F322" s="180"/>
      <c r="H322" s="181"/>
      <c r="M322" s="182"/>
    </row>
    <row r="323">
      <c r="A323" s="179"/>
      <c r="F323" s="180"/>
      <c r="H323" s="181"/>
      <c r="M323" s="182"/>
    </row>
    <row r="324">
      <c r="A324" s="179"/>
      <c r="F324" s="180"/>
      <c r="H324" s="181"/>
      <c r="M324" s="182"/>
    </row>
    <row r="325">
      <c r="A325" s="179"/>
      <c r="F325" s="180"/>
      <c r="H325" s="181"/>
      <c r="M325" s="182"/>
    </row>
    <row r="326">
      <c r="A326" s="179"/>
      <c r="F326" s="180"/>
      <c r="H326" s="181"/>
      <c r="M326" s="182"/>
    </row>
    <row r="327">
      <c r="A327" s="179"/>
      <c r="F327" s="180"/>
      <c r="H327" s="181"/>
      <c r="M327" s="182"/>
    </row>
    <row r="328">
      <c r="A328" s="179"/>
      <c r="F328" s="180"/>
      <c r="H328" s="181"/>
      <c r="M328" s="182"/>
    </row>
    <row r="329">
      <c r="A329" s="179"/>
      <c r="F329" s="180"/>
      <c r="H329" s="181"/>
      <c r="M329" s="182"/>
    </row>
    <row r="330">
      <c r="A330" s="179"/>
      <c r="F330" s="180"/>
      <c r="H330" s="181"/>
      <c r="M330" s="182"/>
    </row>
    <row r="331">
      <c r="A331" s="179"/>
      <c r="F331" s="180"/>
      <c r="H331" s="181"/>
      <c r="M331" s="182"/>
    </row>
    <row r="332">
      <c r="A332" s="179"/>
      <c r="F332" s="180"/>
      <c r="H332" s="181"/>
      <c r="M332" s="182"/>
    </row>
    <row r="333">
      <c r="A333" s="179"/>
      <c r="F333" s="180"/>
      <c r="H333" s="181"/>
      <c r="M333" s="182"/>
    </row>
    <row r="334">
      <c r="A334" s="179"/>
      <c r="F334" s="180"/>
      <c r="H334" s="181"/>
      <c r="M334" s="182"/>
    </row>
    <row r="335">
      <c r="A335" s="179"/>
      <c r="F335" s="180"/>
      <c r="H335" s="181"/>
      <c r="M335" s="182"/>
    </row>
    <row r="336">
      <c r="A336" s="179"/>
      <c r="F336" s="180"/>
      <c r="H336" s="181"/>
      <c r="M336" s="182"/>
    </row>
    <row r="337">
      <c r="A337" s="179"/>
      <c r="F337" s="180"/>
      <c r="H337" s="181"/>
      <c r="M337" s="182"/>
    </row>
    <row r="338">
      <c r="A338" s="179"/>
      <c r="F338" s="180"/>
      <c r="H338" s="181"/>
      <c r="M338" s="182"/>
    </row>
    <row r="339">
      <c r="A339" s="179"/>
      <c r="F339" s="180"/>
      <c r="H339" s="181"/>
      <c r="M339" s="182"/>
    </row>
    <row r="340">
      <c r="A340" s="179"/>
      <c r="F340" s="180"/>
      <c r="H340" s="181"/>
      <c r="M340" s="182"/>
    </row>
    <row r="341">
      <c r="A341" s="179"/>
      <c r="F341" s="180"/>
      <c r="H341" s="181"/>
      <c r="M341" s="182"/>
    </row>
    <row r="342">
      <c r="A342" s="179"/>
      <c r="F342" s="180"/>
      <c r="H342" s="181"/>
      <c r="M342" s="182"/>
    </row>
    <row r="343">
      <c r="A343" s="179"/>
      <c r="F343" s="180"/>
      <c r="H343" s="181"/>
      <c r="M343" s="182"/>
    </row>
    <row r="344">
      <c r="A344" s="179"/>
      <c r="F344" s="180"/>
      <c r="H344" s="181"/>
      <c r="M344" s="182"/>
    </row>
    <row r="345">
      <c r="A345" s="179"/>
      <c r="F345" s="180"/>
      <c r="H345" s="181"/>
      <c r="M345" s="182"/>
    </row>
    <row r="346">
      <c r="A346" s="179"/>
      <c r="F346" s="180"/>
      <c r="H346" s="181"/>
      <c r="M346" s="182"/>
    </row>
    <row r="347">
      <c r="A347" s="179"/>
      <c r="F347" s="180"/>
      <c r="H347" s="181"/>
      <c r="M347" s="182"/>
    </row>
    <row r="348">
      <c r="A348" s="179"/>
      <c r="F348" s="180"/>
      <c r="H348" s="181"/>
      <c r="M348" s="182"/>
    </row>
    <row r="349">
      <c r="A349" s="179"/>
      <c r="F349" s="180"/>
      <c r="H349" s="181"/>
      <c r="M349" s="182"/>
    </row>
    <row r="350">
      <c r="A350" s="179"/>
      <c r="F350" s="180"/>
      <c r="H350" s="181"/>
      <c r="M350" s="182"/>
    </row>
    <row r="351">
      <c r="A351" s="179"/>
      <c r="F351" s="180"/>
      <c r="H351" s="181"/>
      <c r="M351" s="182"/>
    </row>
    <row r="352">
      <c r="A352" s="179"/>
      <c r="F352" s="180"/>
      <c r="H352" s="181"/>
      <c r="M352" s="182"/>
    </row>
    <row r="353">
      <c r="A353" s="179"/>
      <c r="F353" s="180"/>
      <c r="H353" s="181"/>
      <c r="M353" s="182"/>
    </row>
    <row r="354">
      <c r="A354" s="179"/>
      <c r="F354" s="180"/>
      <c r="H354" s="181"/>
      <c r="M354" s="182"/>
    </row>
    <row r="355">
      <c r="A355" s="179"/>
      <c r="F355" s="180"/>
      <c r="H355" s="181"/>
      <c r="M355" s="182"/>
    </row>
    <row r="356">
      <c r="A356" s="179"/>
      <c r="F356" s="180"/>
      <c r="H356" s="181"/>
      <c r="M356" s="182"/>
    </row>
    <row r="357">
      <c r="A357" s="179"/>
      <c r="F357" s="180"/>
      <c r="H357" s="181"/>
      <c r="M357" s="182"/>
    </row>
    <row r="358">
      <c r="A358" s="179"/>
      <c r="F358" s="180"/>
      <c r="H358" s="181"/>
      <c r="M358" s="182"/>
    </row>
    <row r="359">
      <c r="A359" s="179"/>
      <c r="F359" s="180"/>
      <c r="H359" s="181"/>
      <c r="M359" s="182"/>
    </row>
    <row r="360">
      <c r="A360" s="179"/>
      <c r="F360" s="180"/>
      <c r="H360" s="181"/>
      <c r="M360" s="182"/>
    </row>
    <row r="361">
      <c r="A361" s="179"/>
      <c r="F361" s="180"/>
      <c r="H361" s="181"/>
      <c r="M361" s="182"/>
    </row>
    <row r="362">
      <c r="A362" s="179"/>
      <c r="F362" s="180"/>
      <c r="H362" s="181"/>
      <c r="M362" s="182"/>
    </row>
    <row r="363">
      <c r="A363" s="179"/>
      <c r="F363" s="180"/>
      <c r="H363" s="181"/>
      <c r="M363" s="182"/>
    </row>
    <row r="364">
      <c r="A364" s="179"/>
      <c r="F364" s="180"/>
      <c r="H364" s="181"/>
      <c r="M364" s="182"/>
    </row>
    <row r="365">
      <c r="A365" s="179"/>
      <c r="F365" s="180"/>
      <c r="H365" s="181"/>
      <c r="M365" s="182"/>
    </row>
    <row r="366">
      <c r="A366" s="179"/>
      <c r="F366" s="180"/>
      <c r="H366" s="181"/>
      <c r="M366" s="182"/>
    </row>
    <row r="367">
      <c r="A367" s="179"/>
      <c r="F367" s="180"/>
      <c r="H367" s="181"/>
      <c r="M367" s="182"/>
    </row>
    <row r="368">
      <c r="A368" s="179"/>
      <c r="F368" s="180"/>
      <c r="H368" s="181"/>
      <c r="M368" s="182"/>
    </row>
    <row r="369">
      <c r="A369" s="179"/>
      <c r="F369" s="180"/>
      <c r="H369" s="181"/>
      <c r="M369" s="182"/>
    </row>
    <row r="370">
      <c r="A370" s="179"/>
      <c r="F370" s="180"/>
      <c r="H370" s="181"/>
      <c r="M370" s="182"/>
    </row>
    <row r="371">
      <c r="A371" s="179"/>
      <c r="F371" s="180"/>
      <c r="H371" s="181"/>
      <c r="M371" s="182"/>
    </row>
    <row r="372">
      <c r="A372" s="179"/>
      <c r="F372" s="180"/>
      <c r="H372" s="181"/>
      <c r="M372" s="182"/>
    </row>
    <row r="373">
      <c r="A373" s="179"/>
      <c r="F373" s="180"/>
      <c r="H373" s="181"/>
      <c r="M373" s="182"/>
    </row>
    <row r="374">
      <c r="A374" s="179"/>
      <c r="F374" s="180"/>
      <c r="H374" s="181"/>
      <c r="M374" s="182"/>
    </row>
    <row r="375">
      <c r="A375" s="179"/>
      <c r="F375" s="180"/>
      <c r="H375" s="181"/>
      <c r="M375" s="182"/>
    </row>
    <row r="376">
      <c r="A376" s="179"/>
      <c r="F376" s="180"/>
      <c r="H376" s="181"/>
      <c r="M376" s="182"/>
    </row>
    <row r="377">
      <c r="A377" s="179"/>
      <c r="F377" s="180"/>
      <c r="H377" s="181"/>
      <c r="M377" s="182"/>
    </row>
    <row r="378">
      <c r="A378" s="179"/>
      <c r="F378" s="180"/>
      <c r="H378" s="181"/>
      <c r="M378" s="182"/>
    </row>
    <row r="379">
      <c r="A379" s="179"/>
      <c r="F379" s="180"/>
      <c r="H379" s="181"/>
      <c r="M379" s="182"/>
    </row>
    <row r="380">
      <c r="A380" s="179"/>
      <c r="F380" s="180"/>
      <c r="H380" s="181"/>
      <c r="M380" s="182"/>
    </row>
    <row r="381">
      <c r="A381" s="179"/>
      <c r="F381" s="180"/>
      <c r="H381" s="181"/>
      <c r="M381" s="182"/>
    </row>
    <row r="382">
      <c r="A382" s="179"/>
      <c r="F382" s="180"/>
      <c r="H382" s="181"/>
      <c r="M382" s="182"/>
    </row>
    <row r="383">
      <c r="A383" s="179"/>
      <c r="F383" s="180"/>
      <c r="H383" s="181"/>
      <c r="M383" s="182"/>
    </row>
    <row r="384">
      <c r="A384" s="179"/>
      <c r="F384" s="180"/>
      <c r="H384" s="181"/>
      <c r="M384" s="182"/>
    </row>
    <row r="385">
      <c r="A385" s="179"/>
      <c r="F385" s="180"/>
      <c r="H385" s="181"/>
      <c r="M385" s="182"/>
    </row>
    <row r="386">
      <c r="A386" s="179"/>
      <c r="F386" s="180"/>
      <c r="H386" s="181"/>
      <c r="M386" s="182"/>
    </row>
    <row r="387">
      <c r="A387" s="179"/>
      <c r="F387" s="180"/>
      <c r="H387" s="181"/>
      <c r="M387" s="182"/>
    </row>
    <row r="388">
      <c r="A388" s="179"/>
      <c r="F388" s="180"/>
      <c r="H388" s="181"/>
      <c r="M388" s="182"/>
    </row>
    <row r="389">
      <c r="A389" s="179"/>
      <c r="F389" s="180"/>
      <c r="H389" s="181"/>
      <c r="M389" s="182"/>
    </row>
    <row r="390">
      <c r="A390" s="179"/>
      <c r="F390" s="180"/>
      <c r="H390" s="181"/>
      <c r="M390" s="182"/>
    </row>
    <row r="391">
      <c r="A391" s="179"/>
      <c r="F391" s="180"/>
      <c r="H391" s="181"/>
      <c r="M391" s="182"/>
    </row>
    <row r="392">
      <c r="A392" s="179"/>
      <c r="F392" s="180"/>
      <c r="H392" s="181"/>
      <c r="M392" s="182"/>
    </row>
    <row r="393">
      <c r="A393" s="179"/>
      <c r="F393" s="180"/>
      <c r="H393" s="181"/>
      <c r="M393" s="182"/>
    </row>
    <row r="394">
      <c r="A394" s="179"/>
      <c r="F394" s="180"/>
      <c r="H394" s="181"/>
      <c r="M394" s="182"/>
    </row>
    <row r="395">
      <c r="A395" s="179"/>
      <c r="F395" s="180"/>
      <c r="H395" s="181"/>
      <c r="M395" s="182"/>
    </row>
    <row r="396">
      <c r="A396" s="179"/>
      <c r="F396" s="180"/>
      <c r="H396" s="181"/>
      <c r="M396" s="182"/>
    </row>
    <row r="397">
      <c r="A397" s="179"/>
      <c r="F397" s="180"/>
      <c r="H397" s="181"/>
      <c r="M397" s="182"/>
    </row>
    <row r="398">
      <c r="A398" s="179"/>
      <c r="F398" s="180"/>
      <c r="H398" s="181"/>
      <c r="M398" s="182"/>
    </row>
    <row r="399">
      <c r="A399" s="179"/>
      <c r="F399" s="180"/>
      <c r="H399" s="181"/>
      <c r="M399" s="182"/>
    </row>
    <row r="400">
      <c r="A400" s="179"/>
      <c r="F400" s="180"/>
      <c r="H400" s="181"/>
      <c r="M400" s="182"/>
    </row>
    <row r="401">
      <c r="A401" s="179"/>
      <c r="F401" s="180"/>
      <c r="H401" s="181"/>
      <c r="M401" s="182"/>
    </row>
    <row r="402">
      <c r="A402" s="179"/>
      <c r="F402" s="180"/>
      <c r="H402" s="181"/>
      <c r="M402" s="182"/>
    </row>
    <row r="403">
      <c r="A403" s="179"/>
      <c r="F403" s="180"/>
      <c r="H403" s="181"/>
      <c r="M403" s="182"/>
    </row>
    <row r="404">
      <c r="A404" s="179"/>
      <c r="F404" s="180"/>
      <c r="H404" s="181"/>
      <c r="M404" s="182"/>
    </row>
    <row r="405">
      <c r="A405" s="179"/>
      <c r="F405" s="180"/>
      <c r="H405" s="181"/>
      <c r="M405" s="182"/>
    </row>
    <row r="406">
      <c r="A406" s="179"/>
      <c r="F406" s="180"/>
      <c r="H406" s="181"/>
      <c r="M406" s="182"/>
    </row>
    <row r="407">
      <c r="A407" s="179"/>
      <c r="F407" s="180"/>
      <c r="H407" s="181"/>
      <c r="M407" s="182"/>
    </row>
    <row r="408">
      <c r="A408" s="179"/>
      <c r="F408" s="180"/>
      <c r="H408" s="181"/>
      <c r="M408" s="182"/>
    </row>
    <row r="409">
      <c r="A409" s="179"/>
      <c r="F409" s="180"/>
      <c r="H409" s="181"/>
      <c r="M409" s="182"/>
    </row>
    <row r="410">
      <c r="A410" s="179"/>
      <c r="F410" s="180"/>
      <c r="H410" s="181"/>
      <c r="M410" s="182"/>
    </row>
    <row r="411">
      <c r="A411" s="179"/>
      <c r="F411" s="180"/>
      <c r="H411" s="181"/>
      <c r="M411" s="182"/>
    </row>
    <row r="412">
      <c r="A412" s="179"/>
      <c r="F412" s="180"/>
      <c r="H412" s="181"/>
      <c r="M412" s="182"/>
    </row>
    <row r="413">
      <c r="A413" s="179"/>
      <c r="F413" s="180"/>
      <c r="H413" s="181"/>
      <c r="M413" s="182"/>
    </row>
    <row r="414">
      <c r="A414" s="179"/>
      <c r="F414" s="180"/>
      <c r="H414" s="181"/>
      <c r="M414" s="182"/>
    </row>
    <row r="415">
      <c r="A415" s="179"/>
      <c r="F415" s="180"/>
      <c r="H415" s="181"/>
      <c r="M415" s="182"/>
    </row>
    <row r="416">
      <c r="A416" s="179"/>
      <c r="F416" s="180"/>
      <c r="H416" s="181"/>
      <c r="M416" s="182"/>
    </row>
    <row r="417">
      <c r="A417" s="179"/>
      <c r="F417" s="180"/>
      <c r="H417" s="181"/>
      <c r="M417" s="182"/>
    </row>
    <row r="418">
      <c r="A418" s="179"/>
      <c r="F418" s="180"/>
      <c r="H418" s="181"/>
      <c r="M418" s="182"/>
    </row>
    <row r="419">
      <c r="A419" s="179"/>
      <c r="F419" s="180"/>
      <c r="H419" s="181"/>
      <c r="M419" s="182"/>
    </row>
    <row r="420">
      <c r="A420" s="179"/>
      <c r="F420" s="180"/>
      <c r="H420" s="181"/>
      <c r="M420" s="182"/>
    </row>
    <row r="421">
      <c r="A421" s="179"/>
      <c r="F421" s="180"/>
      <c r="H421" s="181"/>
      <c r="M421" s="182"/>
    </row>
    <row r="422">
      <c r="A422" s="179"/>
      <c r="F422" s="180"/>
      <c r="H422" s="181"/>
      <c r="M422" s="182"/>
    </row>
    <row r="423">
      <c r="A423" s="179"/>
      <c r="F423" s="180"/>
      <c r="H423" s="181"/>
      <c r="M423" s="182"/>
    </row>
    <row r="424">
      <c r="A424" s="179"/>
      <c r="F424" s="180"/>
      <c r="H424" s="181"/>
      <c r="M424" s="182"/>
    </row>
    <row r="425">
      <c r="A425" s="179"/>
      <c r="F425" s="180"/>
      <c r="H425" s="181"/>
      <c r="M425" s="182"/>
    </row>
    <row r="426">
      <c r="A426" s="179"/>
      <c r="F426" s="180"/>
      <c r="H426" s="181"/>
      <c r="M426" s="182"/>
    </row>
    <row r="427">
      <c r="A427" s="179"/>
      <c r="F427" s="180"/>
      <c r="H427" s="181"/>
      <c r="M427" s="182"/>
    </row>
    <row r="428">
      <c r="A428" s="179"/>
      <c r="F428" s="180"/>
      <c r="H428" s="181"/>
      <c r="M428" s="182"/>
    </row>
    <row r="429">
      <c r="A429" s="179"/>
      <c r="F429" s="180"/>
      <c r="H429" s="181"/>
      <c r="M429" s="182"/>
    </row>
    <row r="430">
      <c r="A430" s="179"/>
      <c r="F430" s="180"/>
      <c r="H430" s="181"/>
      <c r="M430" s="182"/>
    </row>
    <row r="431">
      <c r="A431" s="179"/>
      <c r="F431" s="180"/>
      <c r="H431" s="181"/>
      <c r="M431" s="182"/>
    </row>
    <row r="432">
      <c r="A432" s="179"/>
      <c r="F432" s="180"/>
      <c r="H432" s="181"/>
      <c r="M432" s="182"/>
    </row>
    <row r="433">
      <c r="A433" s="179"/>
      <c r="F433" s="180"/>
      <c r="H433" s="181"/>
      <c r="M433" s="182"/>
    </row>
    <row r="434">
      <c r="A434" s="179"/>
      <c r="F434" s="180"/>
      <c r="H434" s="181"/>
      <c r="M434" s="182"/>
    </row>
    <row r="435">
      <c r="A435" s="179"/>
      <c r="F435" s="180"/>
      <c r="H435" s="181"/>
      <c r="M435" s="182"/>
    </row>
    <row r="436">
      <c r="A436" s="179"/>
      <c r="F436" s="180"/>
      <c r="H436" s="181"/>
      <c r="M436" s="182"/>
    </row>
    <row r="437">
      <c r="A437" s="179"/>
      <c r="F437" s="180"/>
      <c r="H437" s="181"/>
      <c r="M437" s="182"/>
    </row>
    <row r="438">
      <c r="A438" s="179"/>
      <c r="F438" s="180"/>
      <c r="H438" s="181"/>
      <c r="M438" s="182"/>
    </row>
    <row r="439">
      <c r="A439" s="179"/>
      <c r="F439" s="180"/>
      <c r="H439" s="181"/>
      <c r="M439" s="182"/>
    </row>
    <row r="440">
      <c r="A440" s="179"/>
      <c r="F440" s="180"/>
      <c r="H440" s="181"/>
      <c r="M440" s="182"/>
    </row>
    <row r="441">
      <c r="A441" s="179"/>
      <c r="F441" s="180"/>
      <c r="H441" s="181"/>
      <c r="M441" s="182"/>
    </row>
    <row r="442">
      <c r="A442" s="179"/>
      <c r="F442" s="180"/>
      <c r="H442" s="181"/>
      <c r="M442" s="182"/>
    </row>
    <row r="443">
      <c r="A443" s="179"/>
      <c r="F443" s="180"/>
      <c r="H443" s="181"/>
      <c r="M443" s="182"/>
    </row>
    <row r="444">
      <c r="A444" s="179"/>
      <c r="F444" s="180"/>
      <c r="H444" s="181"/>
      <c r="M444" s="182"/>
    </row>
    <row r="445">
      <c r="A445" s="179"/>
      <c r="F445" s="180"/>
      <c r="H445" s="181"/>
      <c r="M445" s="182"/>
    </row>
    <row r="446">
      <c r="A446" s="179"/>
      <c r="F446" s="180"/>
      <c r="H446" s="181"/>
      <c r="M446" s="182"/>
    </row>
    <row r="447">
      <c r="A447" s="179"/>
      <c r="F447" s="180"/>
      <c r="H447" s="181"/>
      <c r="M447" s="182"/>
    </row>
    <row r="448">
      <c r="A448" s="179"/>
      <c r="F448" s="180"/>
      <c r="H448" s="181"/>
      <c r="M448" s="182"/>
    </row>
    <row r="449">
      <c r="A449" s="179"/>
      <c r="F449" s="180"/>
      <c r="H449" s="181"/>
      <c r="M449" s="182"/>
    </row>
    <row r="450">
      <c r="A450" s="179"/>
      <c r="F450" s="180"/>
      <c r="H450" s="181"/>
      <c r="M450" s="182"/>
    </row>
    <row r="451">
      <c r="A451" s="179"/>
      <c r="F451" s="180"/>
      <c r="H451" s="181"/>
      <c r="M451" s="182"/>
    </row>
    <row r="452">
      <c r="A452" s="179"/>
      <c r="F452" s="180"/>
      <c r="H452" s="181"/>
      <c r="M452" s="182"/>
    </row>
    <row r="453">
      <c r="A453" s="179"/>
      <c r="F453" s="180"/>
      <c r="H453" s="181"/>
      <c r="M453" s="182"/>
    </row>
    <row r="454">
      <c r="A454" s="179"/>
      <c r="F454" s="180"/>
      <c r="H454" s="181"/>
      <c r="M454" s="182"/>
    </row>
    <row r="455">
      <c r="A455" s="179"/>
      <c r="F455" s="180"/>
      <c r="H455" s="181"/>
      <c r="M455" s="182"/>
    </row>
    <row r="456">
      <c r="A456" s="179"/>
      <c r="F456" s="180"/>
      <c r="H456" s="181"/>
      <c r="M456" s="182"/>
    </row>
    <row r="457">
      <c r="A457" s="179"/>
      <c r="F457" s="180"/>
      <c r="H457" s="181"/>
      <c r="M457" s="182"/>
    </row>
    <row r="458">
      <c r="A458" s="179"/>
      <c r="F458" s="180"/>
      <c r="H458" s="181"/>
      <c r="M458" s="182"/>
    </row>
    <row r="459">
      <c r="A459" s="179"/>
      <c r="F459" s="180"/>
      <c r="H459" s="181"/>
      <c r="M459" s="182"/>
    </row>
    <row r="460">
      <c r="A460" s="179"/>
      <c r="F460" s="180"/>
      <c r="H460" s="181"/>
      <c r="M460" s="182"/>
    </row>
    <row r="461">
      <c r="A461" s="179"/>
      <c r="F461" s="180"/>
      <c r="H461" s="181"/>
      <c r="M461" s="182"/>
    </row>
    <row r="462">
      <c r="A462" s="179"/>
      <c r="F462" s="180"/>
      <c r="H462" s="181"/>
      <c r="M462" s="182"/>
    </row>
    <row r="463">
      <c r="A463" s="179"/>
      <c r="F463" s="180"/>
      <c r="H463" s="181"/>
      <c r="M463" s="182"/>
    </row>
    <row r="464">
      <c r="A464" s="179"/>
      <c r="F464" s="180"/>
      <c r="H464" s="181"/>
      <c r="M464" s="182"/>
    </row>
    <row r="465">
      <c r="A465" s="179"/>
      <c r="F465" s="180"/>
      <c r="H465" s="181"/>
      <c r="M465" s="182"/>
    </row>
    <row r="466">
      <c r="A466" s="179"/>
      <c r="F466" s="180"/>
      <c r="H466" s="181"/>
      <c r="M466" s="182"/>
    </row>
    <row r="467">
      <c r="A467" s="179"/>
      <c r="F467" s="180"/>
      <c r="H467" s="181"/>
      <c r="M467" s="182"/>
    </row>
    <row r="468">
      <c r="A468" s="179"/>
      <c r="F468" s="180"/>
      <c r="H468" s="181"/>
      <c r="M468" s="182"/>
    </row>
    <row r="469">
      <c r="A469" s="179"/>
      <c r="F469" s="180"/>
      <c r="H469" s="181"/>
      <c r="M469" s="182"/>
    </row>
    <row r="470">
      <c r="A470" s="179"/>
      <c r="F470" s="180"/>
      <c r="H470" s="181"/>
      <c r="M470" s="182"/>
    </row>
    <row r="471">
      <c r="A471" s="179"/>
      <c r="F471" s="180"/>
      <c r="H471" s="181"/>
      <c r="M471" s="182"/>
    </row>
    <row r="472">
      <c r="A472" s="179"/>
      <c r="F472" s="180"/>
      <c r="H472" s="181"/>
      <c r="M472" s="182"/>
    </row>
    <row r="473">
      <c r="A473" s="179"/>
      <c r="F473" s="180"/>
      <c r="H473" s="181"/>
      <c r="M473" s="182"/>
    </row>
    <row r="474">
      <c r="A474" s="179"/>
      <c r="F474" s="180"/>
      <c r="H474" s="181"/>
      <c r="M474" s="182"/>
    </row>
    <row r="475">
      <c r="A475" s="179"/>
      <c r="F475" s="180"/>
      <c r="H475" s="181"/>
      <c r="M475" s="182"/>
    </row>
    <row r="476">
      <c r="A476" s="179"/>
      <c r="F476" s="180"/>
      <c r="H476" s="181"/>
      <c r="M476" s="182"/>
    </row>
    <row r="477">
      <c r="A477" s="179"/>
      <c r="F477" s="180"/>
      <c r="H477" s="181"/>
      <c r="M477" s="182"/>
    </row>
    <row r="478">
      <c r="A478" s="179"/>
      <c r="F478" s="180"/>
      <c r="H478" s="181"/>
      <c r="M478" s="182"/>
    </row>
    <row r="479">
      <c r="A479" s="179"/>
      <c r="F479" s="180"/>
      <c r="H479" s="181"/>
      <c r="M479" s="182"/>
    </row>
    <row r="480">
      <c r="A480" s="179"/>
      <c r="F480" s="180"/>
      <c r="H480" s="181"/>
      <c r="M480" s="182"/>
    </row>
    <row r="481">
      <c r="A481" s="179"/>
      <c r="F481" s="180"/>
      <c r="H481" s="181"/>
      <c r="M481" s="182"/>
    </row>
    <row r="482">
      <c r="A482" s="179"/>
      <c r="F482" s="180"/>
      <c r="H482" s="181"/>
      <c r="M482" s="182"/>
    </row>
    <row r="483">
      <c r="A483" s="179"/>
      <c r="F483" s="180"/>
      <c r="H483" s="181"/>
      <c r="M483" s="182"/>
    </row>
    <row r="484">
      <c r="A484" s="179"/>
      <c r="F484" s="180"/>
      <c r="H484" s="181"/>
      <c r="M484" s="182"/>
    </row>
    <row r="485">
      <c r="A485" s="179"/>
      <c r="F485" s="180"/>
      <c r="H485" s="181"/>
      <c r="M485" s="182"/>
    </row>
    <row r="486">
      <c r="A486" s="179"/>
      <c r="F486" s="180"/>
      <c r="H486" s="181"/>
      <c r="M486" s="182"/>
    </row>
    <row r="487">
      <c r="A487" s="179"/>
      <c r="F487" s="180"/>
      <c r="H487" s="181"/>
      <c r="M487" s="182"/>
    </row>
    <row r="488">
      <c r="A488" s="179"/>
      <c r="F488" s="180"/>
      <c r="H488" s="181"/>
      <c r="M488" s="182"/>
    </row>
    <row r="489">
      <c r="A489" s="179"/>
      <c r="F489" s="180"/>
      <c r="H489" s="181"/>
      <c r="M489" s="182"/>
    </row>
    <row r="490">
      <c r="A490" s="179"/>
      <c r="F490" s="180"/>
      <c r="H490" s="181"/>
      <c r="M490" s="182"/>
    </row>
    <row r="491">
      <c r="A491" s="179"/>
      <c r="F491" s="180"/>
      <c r="H491" s="181"/>
      <c r="M491" s="182"/>
    </row>
    <row r="492">
      <c r="A492" s="179"/>
      <c r="F492" s="180"/>
      <c r="H492" s="181"/>
      <c r="M492" s="182"/>
    </row>
    <row r="493">
      <c r="A493" s="179"/>
      <c r="F493" s="180"/>
      <c r="H493" s="181"/>
      <c r="M493" s="182"/>
    </row>
    <row r="494">
      <c r="A494" s="179"/>
      <c r="F494" s="180"/>
      <c r="H494" s="181"/>
      <c r="M494" s="182"/>
    </row>
    <row r="495">
      <c r="A495" s="179"/>
      <c r="F495" s="180"/>
      <c r="H495" s="181"/>
      <c r="M495" s="182"/>
    </row>
    <row r="496">
      <c r="A496" s="179"/>
      <c r="F496" s="180"/>
      <c r="H496" s="181"/>
      <c r="M496" s="182"/>
    </row>
    <row r="497">
      <c r="A497" s="179"/>
      <c r="F497" s="180"/>
      <c r="H497" s="181"/>
      <c r="M497" s="182"/>
    </row>
    <row r="498">
      <c r="A498" s="179"/>
      <c r="F498" s="180"/>
      <c r="H498" s="181"/>
      <c r="M498" s="182"/>
    </row>
    <row r="499">
      <c r="A499" s="179"/>
      <c r="F499" s="180"/>
      <c r="H499" s="181"/>
      <c r="M499" s="182"/>
    </row>
    <row r="500">
      <c r="A500" s="179"/>
      <c r="F500" s="180"/>
      <c r="H500" s="181"/>
      <c r="M500" s="182"/>
    </row>
    <row r="501">
      <c r="A501" s="179"/>
      <c r="F501" s="180"/>
      <c r="H501" s="181"/>
      <c r="M501" s="182"/>
    </row>
    <row r="502">
      <c r="A502" s="179"/>
      <c r="F502" s="180"/>
      <c r="H502" s="181"/>
      <c r="M502" s="182"/>
    </row>
    <row r="503">
      <c r="A503" s="179"/>
      <c r="F503" s="180"/>
      <c r="H503" s="181"/>
      <c r="M503" s="182"/>
    </row>
    <row r="504">
      <c r="A504" s="179"/>
      <c r="F504" s="180"/>
      <c r="H504" s="181"/>
      <c r="M504" s="182"/>
    </row>
    <row r="505">
      <c r="A505" s="179"/>
      <c r="F505" s="180"/>
      <c r="H505" s="181"/>
      <c r="M505" s="182"/>
    </row>
    <row r="506">
      <c r="A506" s="179"/>
      <c r="F506" s="180"/>
      <c r="H506" s="181"/>
      <c r="M506" s="182"/>
    </row>
    <row r="507">
      <c r="A507" s="179"/>
      <c r="F507" s="180"/>
      <c r="H507" s="181"/>
      <c r="M507" s="182"/>
    </row>
    <row r="508">
      <c r="A508" s="179"/>
      <c r="F508" s="180"/>
      <c r="H508" s="181"/>
      <c r="M508" s="182"/>
    </row>
    <row r="509">
      <c r="A509" s="179"/>
      <c r="F509" s="180"/>
      <c r="H509" s="181"/>
      <c r="M509" s="182"/>
    </row>
    <row r="510">
      <c r="A510" s="179"/>
      <c r="F510" s="180"/>
      <c r="H510" s="181"/>
      <c r="M510" s="182"/>
    </row>
    <row r="511">
      <c r="A511" s="179"/>
      <c r="F511" s="180"/>
      <c r="H511" s="181"/>
      <c r="M511" s="182"/>
    </row>
    <row r="512">
      <c r="A512" s="179"/>
      <c r="F512" s="180"/>
      <c r="H512" s="181"/>
      <c r="M512" s="182"/>
    </row>
    <row r="513">
      <c r="A513" s="179"/>
      <c r="F513" s="180"/>
      <c r="H513" s="181"/>
      <c r="M513" s="182"/>
    </row>
    <row r="514">
      <c r="A514" s="179"/>
      <c r="F514" s="180"/>
      <c r="H514" s="181"/>
      <c r="M514" s="182"/>
    </row>
    <row r="515">
      <c r="A515" s="179"/>
      <c r="F515" s="180"/>
      <c r="H515" s="181"/>
      <c r="M515" s="182"/>
    </row>
    <row r="516">
      <c r="A516" s="179"/>
      <c r="F516" s="180"/>
      <c r="H516" s="181"/>
      <c r="M516" s="182"/>
    </row>
    <row r="517">
      <c r="A517" s="179"/>
      <c r="F517" s="180"/>
      <c r="H517" s="181"/>
      <c r="M517" s="182"/>
    </row>
    <row r="518">
      <c r="A518" s="179"/>
      <c r="F518" s="180"/>
      <c r="H518" s="181"/>
      <c r="M518" s="182"/>
    </row>
    <row r="519">
      <c r="A519" s="179"/>
      <c r="F519" s="180"/>
      <c r="H519" s="181"/>
      <c r="M519" s="182"/>
    </row>
    <row r="520">
      <c r="A520" s="179"/>
      <c r="F520" s="180"/>
      <c r="H520" s="181"/>
      <c r="M520" s="182"/>
    </row>
    <row r="521">
      <c r="A521" s="179"/>
      <c r="F521" s="180"/>
      <c r="H521" s="181"/>
      <c r="M521" s="182"/>
    </row>
    <row r="522">
      <c r="A522" s="179"/>
      <c r="F522" s="180"/>
      <c r="H522" s="181"/>
      <c r="M522" s="182"/>
    </row>
    <row r="523">
      <c r="A523" s="179"/>
      <c r="F523" s="180"/>
      <c r="H523" s="181"/>
      <c r="M523" s="182"/>
    </row>
    <row r="524">
      <c r="A524" s="179"/>
      <c r="F524" s="180"/>
      <c r="H524" s="181"/>
      <c r="M524" s="182"/>
    </row>
    <row r="525">
      <c r="A525" s="179"/>
      <c r="F525" s="180"/>
      <c r="H525" s="181"/>
      <c r="M525" s="182"/>
    </row>
    <row r="526">
      <c r="A526" s="179"/>
      <c r="F526" s="180"/>
      <c r="H526" s="181"/>
      <c r="M526" s="182"/>
    </row>
    <row r="527">
      <c r="A527" s="179"/>
      <c r="F527" s="180"/>
      <c r="H527" s="181"/>
      <c r="M527" s="182"/>
    </row>
    <row r="528">
      <c r="A528" s="179"/>
      <c r="F528" s="180"/>
      <c r="H528" s="181"/>
      <c r="M528" s="182"/>
    </row>
    <row r="529">
      <c r="A529" s="179"/>
      <c r="F529" s="180"/>
      <c r="H529" s="181"/>
      <c r="M529" s="182"/>
    </row>
    <row r="530">
      <c r="A530" s="179"/>
      <c r="F530" s="180"/>
      <c r="H530" s="181"/>
      <c r="M530" s="182"/>
    </row>
    <row r="531">
      <c r="A531" s="179"/>
      <c r="F531" s="180"/>
      <c r="H531" s="181"/>
      <c r="M531" s="182"/>
    </row>
    <row r="532">
      <c r="A532" s="179"/>
      <c r="F532" s="180"/>
      <c r="H532" s="181"/>
      <c r="M532" s="182"/>
    </row>
    <row r="533">
      <c r="A533" s="179"/>
      <c r="F533" s="180"/>
      <c r="H533" s="181"/>
      <c r="M533" s="182"/>
    </row>
    <row r="534">
      <c r="A534" s="179"/>
      <c r="F534" s="180"/>
      <c r="H534" s="181"/>
      <c r="M534" s="182"/>
    </row>
    <row r="535">
      <c r="A535" s="179"/>
      <c r="F535" s="180"/>
      <c r="H535" s="181"/>
      <c r="M535" s="182"/>
    </row>
    <row r="536">
      <c r="A536" s="179"/>
      <c r="F536" s="180"/>
      <c r="H536" s="181"/>
      <c r="M536" s="182"/>
    </row>
    <row r="537">
      <c r="A537" s="179"/>
      <c r="F537" s="180"/>
      <c r="H537" s="181"/>
      <c r="M537" s="182"/>
    </row>
    <row r="538">
      <c r="A538" s="179"/>
      <c r="F538" s="180"/>
      <c r="H538" s="181"/>
      <c r="M538" s="182"/>
    </row>
    <row r="539">
      <c r="A539" s="179"/>
      <c r="F539" s="180"/>
      <c r="H539" s="181"/>
      <c r="M539" s="182"/>
    </row>
    <row r="540">
      <c r="A540" s="179"/>
      <c r="F540" s="180"/>
      <c r="H540" s="181"/>
      <c r="M540" s="182"/>
    </row>
    <row r="541">
      <c r="A541" s="179"/>
      <c r="F541" s="180"/>
      <c r="H541" s="181"/>
      <c r="M541" s="182"/>
    </row>
    <row r="542">
      <c r="A542" s="179"/>
      <c r="F542" s="180"/>
      <c r="H542" s="181"/>
      <c r="M542" s="182"/>
    </row>
    <row r="543">
      <c r="A543" s="179"/>
      <c r="F543" s="180"/>
      <c r="H543" s="181"/>
      <c r="M543" s="182"/>
    </row>
    <row r="544">
      <c r="A544" s="179"/>
      <c r="F544" s="180"/>
      <c r="H544" s="181"/>
      <c r="M544" s="182"/>
    </row>
    <row r="545">
      <c r="A545" s="179"/>
      <c r="F545" s="180"/>
      <c r="H545" s="181"/>
      <c r="M545" s="182"/>
    </row>
    <row r="546">
      <c r="A546" s="179"/>
      <c r="F546" s="180"/>
      <c r="H546" s="181"/>
      <c r="M546" s="182"/>
    </row>
    <row r="547">
      <c r="A547" s="179"/>
      <c r="F547" s="180"/>
      <c r="H547" s="181"/>
      <c r="M547" s="182"/>
    </row>
    <row r="548">
      <c r="A548" s="179"/>
      <c r="F548" s="180"/>
      <c r="H548" s="181"/>
      <c r="M548" s="182"/>
    </row>
    <row r="549">
      <c r="A549" s="179"/>
      <c r="F549" s="180"/>
      <c r="H549" s="181"/>
      <c r="M549" s="182"/>
    </row>
    <row r="550">
      <c r="A550" s="179"/>
      <c r="F550" s="180"/>
      <c r="H550" s="181"/>
      <c r="M550" s="182"/>
    </row>
    <row r="551">
      <c r="A551" s="179"/>
      <c r="F551" s="180"/>
      <c r="H551" s="181"/>
      <c r="M551" s="182"/>
    </row>
    <row r="552">
      <c r="A552" s="179"/>
      <c r="F552" s="180"/>
      <c r="H552" s="181"/>
      <c r="M552" s="182"/>
    </row>
    <row r="553">
      <c r="A553" s="179"/>
      <c r="F553" s="180"/>
      <c r="H553" s="181"/>
      <c r="M553" s="182"/>
    </row>
    <row r="554">
      <c r="A554" s="179"/>
      <c r="F554" s="180"/>
      <c r="H554" s="181"/>
      <c r="M554" s="182"/>
    </row>
    <row r="555">
      <c r="A555" s="179"/>
      <c r="F555" s="180"/>
      <c r="H555" s="181"/>
      <c r="M555" s="182"/>
    </row>
    <row r="556">
      <c r="A556" s="179"/>
      <c r="F556" s="180"/>
      <c r="H556" s="181"/>
      <c r="M556" s="182"/>
    </row>
    <row r="557">
      <c r="A557" s="179"/>
      <c r="F557" s="180"/>
      <c r="H557" s="181"/>
      <c r="M557" s="182"/>
    </row>
    <row r="558">
      <c r="A558" s="179"/>
      <c r="F558" s="180"/>
      <c r="H558" s="181"/>
      <c r="M558" s="182"/>
    </row>
    <row r="559">
      <c r="A559" s="179"/>
      <c r="F559" s="180"/>
      <c r="H559" s="181"/>
      <c r="M559" s="182"/>
    </row>
    <row r="560">
      <c r="A560" s="179"/>
      <c r="F560" s="180"/>
      <c r="H560" s="181"/>
      <c r="M560" s="182"/>
    </row>
    <row r="561">
      <c r="A561" s="179"/>
      <c r="F561" s="180"/>
      <c r="H561" s="181"/>
      <c r="M561" s="182"/>
    </row>
    <row r="562">
      <c r="A562" s="179"/>
      <c r="F562" s="180"/>
      <c r="H562" s="181"/>
      <c r="M562" s="182"/>
    </row>
    <row r="563">
      <c r="A563" s="179"/>
      <c r="F563" s="180"/>
      <c r="H563" s="181"/>
      <c r="M563" s="182"/>
    </row>
    <row r="564">
      <c r="A564" s="179"/>
      <c r="F564" s="180"/>
      <c r="H564" s="181"/>
      <c r="M564" s="182"/>
    </row>
    <row r="565">
      <c r="A565" s="179"/>
      <c r="F565" s="180"/>
      <c r="H565" s="181"/>
      <c r="M565" s="182"/>
    </row>
    <row r="566">
      <c r="A566" s="179"/>
      <c r="F566" s="180"/>
      <c r="H566" s="181"/>
      <c r="M566" s="182"/>
    </row>
    <row r="567">
      <c r="A567" s="179"/>
      <c r="F567" s="180"/>
      <c r="H567" s="181"/>
      <c r="M567" s="182"/>
    </row>
    <row r="568">
      <c r="A568" s="179"/>
      <c r="F568" s="180"/>
      <c r="H568" s="181"/>
      <c r="M568" s="182"/>
    </row>
    <row r="569">
      <c r="A569" s="179"/>
      <c r="F569" s="180"/>
      <c r="H569" s="181"/>
      <c r="M569" s="182"/>
    </row>
    <row r="570">
      <c r="A570" s="179"/>
      <c r="F570" s="180"/>
      <c r="H570" s="181"/>
      <c r="M570" s="182"/>
    </row>
    <row r="571">
      <c r="A571" s="179"/>
      <c r="F571" s="180"/>
      <c r="H571" s="181"/>
      <c r="M571" s="182"/>
    </row>
    <row r="572">
      <c r="A572" s="179"/>
      <c r="F572" s="180"/>
      <c r="H572" s="181"/>
      <c r="M572" s="182"/>
    </row>
    <row r="573">
      <c r="A573" s="179"/>
      <c r="F573" s="180"/>
      <c r="H573" s="181"/>
      <c r="M573" s="182"/>
    </row>
    <row r="574">
      <c r="A574" s="179"/>
      <c r="F574" s="180"/>
      <c r="H574" s="181"/>
      <c r="M574" s="182"/>
    </row>
    <row r="575">
      <c r="A575" s="179"/>
      <c r="F575" s="180"/>
      <c r="H575" s="181"/>
      <c r="M575" s="182"/>
    </row>
    <row r="576">
      <c r="A576" s="179"/>
      <c r="F576" s="180"/>
      <c r="H576" s="181"/>
      <c r="M576" s="182"/>
    </row>
    <row r="577">
      <c r="A577" s="179"/>
      <c r="F577" s="180"/>
      <c r="H577" s="181"/>
      <c r="M577" s="182"/>
    </row>
    <row r="578">
      <c r="A578" s="179"/>
      <c r="F578" s="180"/>
      <c r="H578" s="181"/>
      <c r="M578" s="182"/>
    </row>
    <row r="579">
      <c r="A579" s="179"/>
      <c r="F579" s="180"/>
      <c r="H579" s="181"/>
      <c r="M579" s="182"/>
    </row>
    <row r="580">
      <c r="A580" s="179"/>
      <c r="F580" s="180"/>
      <c r="H580" s="181"/>
      <c r="M580" s="182"/>
    </row>
    <row r="581">
      <c r="A581" s="179"/>
      <c r="F581" s="180"/>
      <c r="H581" s="181"/>
      <c r="M581" s="182"/>
    </row>
    <row r="582">
      <c r="A582" s="179"/>
      <c r="F582" s="180"/>
      <c r="H582" s="181"/>
      <c r="M582" s="182"/>
    </row>
    <row r="583">
      <c r="A583" s="179"/>
      <c r="F583" s="180"/>
      <c r="H583" s="181"/>
      <c r="M583" s="182"/>
    </row>
    <row r="584">
      <c r="A584" s="179"/>
      <c r="F584" s="180"/>
      <c r="H584" s="181"/>
      <c r="M584" s="182"/>
    </row>
    <row r="585">
      <c r="A585" s="179"/>
      <c r="F585" s="180"/>
      <c r="H585" s="181"/>
      <c r="M585" s="182"/>
    </row>
    <row r="586">
      <c r="A586" s="179"/>
      <c r="F586" s="180"/>
      <c r="H586" s="181"/>
      <c r="M586" s="182"/>
    </row>
    <row r="587">
      <c r="A587" s="179"/>
      <c r="F587" s="180"/>
      <c r="H587" s="181"/>
      <c r="M587" s="182"/>
    </row>
    <row r="588">
      <c r="A588" s="179"/>
      <c r="F588" s="180"/>
      <c r="H588" s="181"/>
      <c r="M588" s="182"/>
    </row>
    <row r="589">
      <c r="A589" s="179"/>
      <c r="F589" s="180"/>
      <c r="H589" s="181"/>
      <c r="M589" s="182"/>
    </row>
    <row r="590">
      <c r="A590" s="179"/>
      <c r="F590" s="180"/>
      <c r="H590" s="181"/>
      <c r="M590" s="182"/>
    </row>
    <row r="591">
      <c r="A591" s="179"/>
      <c r="F591" s="180"/>
      <c r="H591" s="181"/>
      <c r="M591" s="182"/>
    </row>
    <row r="592">
      <c r="A592" s="179"/>
      <c r="F592" s="180"/>
      <c r="H592" s="181"/>
      <c r="M592" s="182"/>
    </row>
    <row r="593">
      <c r="A593" s="179"/>
      <c r="F593" s="180"/>
      <c r="H593" s="181"/>
      <c r="M593" s="182"/>
    </row>
    <row r="594">
      <c r="A594" s="179"/>
      <c r="F594" s="180"/>
      <c r="H594" s="181"/>
      <c r="M594" s="182"/>
    </row>
    <row r="595">
      <c r="A595" s="179"/>
      <c r="F595" s="180"/>
      <c r="H595" s="181"/>
      <c r="M595" s="182"/>
    </row>
    <row r="596">
      <c r="A596" s="179"/>
      <c r="F596" s="180"/>
      <c r="H596" s="181"/>
      <c r="M596" s="182"/>
    </row>
    <row r="597">
      <c r="A597" s="179"/>
      <c r="F597" s="180"/>
      <c r="H597" s="181"/>
      <c r="M597" s="182"/>
    </row>
    <row r="598">
      <c r="A598" s="179"/>
      <c r="F598" s="180"/>
      <c r="H598" s="181"/>
      <c r="M598" s="182"/>
    </row>
    <row r="599">
      <c r="A599" s="179"/>
      <c r="F599" s="180"/>
      <c r="H599" s="181"/>
      <c r="M599" s="182"/>
    </row>
    <row r="600">
      <c r="A600" s="179"/>
      <c r="F600" s="180"/>
      <c r="H600" s="181"/>
      <c r="M600" s="182"/>
    </row>
    <row r="601">
      <c r="A601" s="179"/>
      <c r="F601" s="180"/>
      <c r="H601" s="181"/>
      <c r="M601" s="182"/>
    </row>
    <row r="602">
      <c r="A602" s="179"/>
      <c r="F602" s="180"/>
      <c r="H602" s="181"/>
      <c r="M602" s="182"/>
    </row>
    <row r="603">
      <c r="A603" s="179"/>
      <c r="F603" s="180"/>
      <c r="H603" s="181"/>
      <c r="M603" s="182"/>
    </row>
    <row r="604">
      <c r="A604" s="179"/>
      <c r="F604" s="180"/>
      <c r="H604" s="181"/>
      <c r="M604" s="182"/>
    </row>
    <row r="605">
      <c r="A605" s="179"/>
      <c r="F605" s="180"/>
      <c r="H605" s="181"/>
      <c r="M605" s="182"/>
    </row>
    <row r="606">
      <c r="A606" s="179"/>
      <c r="F606" s="180"/>
      <c r="H606" s="181"/>
      <c r="M606" s="182"/>
    </row>
    <row r="607">
      <c r="A607" s="179"/>
      <c r="F607" s="180"/>
      <c r="H607" s="181"/>
      <c r="M607" s="182"/>
    </row>
    <row r="608">
      <c r="A608" s="179"/>
      <c r="F608" s="180"/>
      <c r="H608" s="181"/>
      <c r="M608" s="182"/>
    </row>
    <row r="609">
      <c r="A609" s="179"/>
      <c r="F609" s="180"/>
      <c r="H609" s="181"/>
      <c r="M609" s="182"/>
    </row>
    <row r="610">
      <c r="A610" s="179"/>
      <c r="F610" s="180"/>
      <c r="H610" s="181"/>
      <c r="M610" s="182"/>
    </row>
    <row r="611">
      <c r="A611" s="179"/>
      <c r="F611" s="180"/>
      <c r="H611" s="181"/>
      <c r="M611" s="182"/>
    </row>
    <row r="612">
      <c r="A612" s="179"/>
      <c r="F612" s="180"/>
      <c r="H612" s="181"/>
      <c r="M612" s="182"/>
    </row>
    <row r="613">
      <c r="A613" s="179"/>
      <c r="F613" s="180"/>
      <c r="H613" s="181"/>
      <c r="M613" s="182"/>
    </row>
    <row r="614">
      <c r="A614" s="179"/>
      <c r="F614" s="180"/>
      <c r="H614" s="181"/>
      <c r="M614" s="182"/>
    </row>
    <row r="615">
      <c r="A615" s="179"/>
      <c r="F615" s="180"/>
      <c r="H615" s="181"/>
      <c r="M615" s="182"/>
    </row>
    <row r="616">
      <c r="A616" s="179"/>
      <c r="F616" s="180"/>
      <c r="H616" s="181"/>
      <c r="M616" s="182"/>
    </row>
    <row r="617">
      <c r="A617" s="179"/>
      <c r="F617" s="180"/>
      <c r="H617" s="181"/>
      <c r="M617" s="182"/>
    </row>
    <row r="618">
      <c r="A618" s="179"/>
      <c r="F618" s="180"/>
      <c r="H618" s="181"/>
      <c r="M618" s="182"/>
    </row>
    <row r="619">
      <c r="A619" s="179"/>
      <c r="F619" s="180"/>
      <c r="H619" s="181"/>
      <c r="M619" s="182"/>
    </row>
    <row r="620">
      <c r="A620" s="179"/>
      <c r="F620" s="180"/>
      <c r="H620" s="181"/>
      <c r="M620" s="182"/>
    </row>
    <row r="621">
      <c r="A621" s="179"/>
      <c r="F621" s="180"/>
      <c r="H621" s="181"/>
      <c r="M621" s="182"/>
    </row>
    <row r="622">
      <c r="A622" s="179"/>
      <c r="F622" s="180"/>
      <c r="H622" s="181"/>
      <c r="M622" s="182"/>
    </row>
    <row r="623">
      <c r="A623" s="179"/>
      <c r="F623" s="180"/>
      <c r="H623" s="181"/>
      <c r="M623" s="182"/>
    </row>
    <row r="624">
      <c r="A624" s="179"/>
      <c r="F624" s="180"/>
      <c r="H624" s="181"/>
      <c r="M624" s="182"/>
    </row>
    <row r="625">
      <c r="A625" s="179"/>
      <c r="F625" s="180"/>
      <c r="H625" s="181"/>
      <c r="M625" s="182"/>
    </row>
    <row r="626">
      <c r="A626" s="179"/>
      <c r="F626" s="180"/>
      <c r="H626" s="181"/>
      <c r="M626" s="182"/>
    </row>
    <row r="627">
      <c r="A627" s="179"/>
      <c r="F627" s="180"/>
      <c r="H627" s="181"/>
      <c r="M627" s="182"/>
    </row>
    <row r="628">
      <c r="A628" s="179"/>
      <c r="F628" s="180"/>
      <c r="H628" s="181"/>
      <c r="M628" s="182"/>
    </row>
    <row r="629">
      <c r="A629" s="179"/>
      <c r="F629" s="180"/>
      <c r="H629" s="181"/>
      <c r="M629" s="182"/>
    </row>
    <row r="630">
      <c r="A630" s="179"/>
      <c r="F630" s="180"/>
      <c r="H630" s="181"/>
      <c r="M630" s="182"/>
    </row>
    <row r="631">
      <c r="A631" s="179"/>
      <c r="F631" s="180"/>
      <c r="H631" s="181"/>
      <c r="M631" s="182"/>
    </row>
    <row r="632">
      <c r="A632" s="179"/>
      <c r="F632" s="180"/>
      <c r="H632" s="181"/>
      <c r="M632" s="182"/>
    </row>
    <row r="633">
      <c r="A633" s="179"/>
      <c r="F633" s="180"/>
      <c r="H633" s="181"/>
      <c r="M633" s="182"/>
    </row>
    <row r="634">
      <c r="A634" s="179"/>
      <c r="F634" s="180"/>
      <c r="H634" s="181"/>
      <c r="M634" s="182"/>
    </row>
    <row r="635">
      <c r="A635" s="179"/>
      <c r="F635" s="180"/>
      <c r="H635" s="181"/>
      <c r="M635" s="182"/>
    </row>
    <row r="636">
      <c r="A636" s="179"/>
      <c r="F636" s="180"/>
      <c r="H636" s="181"/>
      <c r="M636" s="182"/>
    </row>
    <row r="637">
      <c r="A637" s="179"/>
      <c r="F637" s="180"/>
      <c r="H637" s="181"/>
      <c r="M637" s="182"/>
    </row>
    <row r="638">
      <c r="A638" s="179"/>
      <c r="F638" s="180"/>
      <c r="H638" s="181"/>
      <c r="M638" s="182"/>
    </row>
    <row r="639">
      <c r="A639" s="179"/>
      <c r="F639" s="180"/>
      <c r="H639" s="181"/>
      <c r="M639" s="182"/>
    </row>
    <row r="640">
      <c r="A640" s="179"/>
      <c r="F640" s="180"/>
      <c r="H640" s="181"/>
      <c r="M640" s="182"/>
    </row>
    <row r="641">
      <c r="A641" s="179"/>
      <c r="F641" s="180"/>
      <c r="H641" s="181"/>
      <c r="M641" s="182"/>
    </row>
    <row r="642">
      <c r="A642" s="179"/>
      <c r="F642" s="180"/>
      <c r="H642" s="181"/>
      <c r="M642" s="182"/>
    </row>
    <row r="643">
      <c r="A643" s="179"/>
      <c r="F643" s="180"/>
      <c r="H643" s="181"/>
      <c r="M643" s="182"/>
    </row>
    <row r="644">
      <c r="A644" s="179"/>
      <c r="F644" s="180"/>
      <c r="H644" s="181"/>
      <c r="M644" s="182"/>
    </row>
    <row r="645">
      <c r="A645" s="179"/>
      <c r="F645" s="180"/>
      <c r="H645" s="181"/>
      <c r="M645" s="182"/>
    </row>
    <row r="646">
      <c r="A646" s="179"/>
      <c r="F646" s="180"/>
      <c r="H646" s="181"/>
      <c r="M646" s="182"/>
    </row>
    <row r="647">
      <c r="A647" s="179"/>
      <c r="F647" s="180"/>
      <c r="H647" s="181"/>
      <c r="M647" s="182"/>
    </row>
    <row r="648">
      <c r="A648" s="179"/>
      <c r="F648" s="180"/>
      <c r="H648" s="181"/>
      <c r="M648" s="182"/>
    </row>
    <row r="649">
      <c r="A649" s="179"/>
      <c r="F649" s="180"/>
      <c r="H649" s="181"/>
      <c r="M649" s="182"/>
    </row>
    <row r="650">
      <c r="A650" s="179"/>
      <c r="F650" s="180"/>
      <c r="H650" s="181"/>
      <c r="M650" s="182"/>
    </row>
    <row r="651">
      <c r="A651" s="179"/>
      <c r="F651" s="180"/>
      <c r="H651" s="181"/>
      <c r="M651" s="182"/>
    </row>
    <row r="652">
      <c r="A652" s="179"/>
      <c r="F652" s="180"/>
      <c r="H652" s="181"/>
      <c r="M652" s="182"/>
    </row>
    <row r="653">
      <c r="A653" s="179"/>
      <c r="F653" s="180"/>
      <c r="H653" s="181"/>
      <c r="M653" s="182"/>
    </row>
    <row r="654">
      <c r="A654" s="179"/>
      <c r="F654" s="180"/>
      <c r="H654" s="181"/>
      <c r="M654" s="182"/>
    </row>
    <row r="655">
      <c r="A655" s="179"/>
      <c r="F655" s="180"/>
      <c r="H655" s="181"/>
      <c r="M655" s="182"/>
    </row>
    <row r="656">
      <c r="A656" s="179"/>
      <c r="F656" s="180"/>
      <c r="H656" s="181"/>
      <c r="M656" s="182"/>
    </row>
    <row r="657">
      <c r="A657" s="179"/>
      <c r="F657" s="180"/>
      <c r="H657" s="181"/>
      <c r="M657" s="182"/>
    </row>
    <row r="658">
      <c r="A658" s="179"/>
      <c r="F658" s="180"/>
      <c r="H658" s="181"/>
      <c r="M658" s="182"/>
    </row>
    <row r="659">
      <c r="A659" s="179"/>
      <c r="F659" s="180"/>
      <c r="H659" s="181"/>
      <c r="M659" s="182"/>
    </row>
    <row r="660">
      <c r="A660" s="179"/>
      <c r="F660" s="180"/>
      <c r="H660" s="181"/>
      <c r="M660" s="182"/>
    </row>
    <row r="661">
      <c r="A661" s="179"/>
      <c r="F661" s="180"/>
      <c r="H661" s="181"/>
      <c r="M661" s="182"/>
    </row>
    <row r="662">
      <c r="A662" s="179"/>
      <c r="F662" s="180"/>
      <c r="H662" s="181"/>
      <c r="M662" s="182"/>
    </row>
    <row r="663">
      <c r="A663" s="179"/>
      <c r="F663" s="180"/>
      <c r="H663" s="181"/>
      <c r="M663" s="182"/>
    </row>
    <row r="664">
      <c r="A664" s="179"/>
      <c r="F664" s="180"/>
      <c r="H664" s="181"/>
      <c r="M664" s="182"/>
    </row>
    <row r="665">
      <c r="A665" s="179"/>
      <c r="F665" s="180"/>
      <c r="H665" s="181"/>
      <c r="M665" s="182"/>
    </row>
    <row r="666">
      <c r="A666" s="179"/>
      <c r="F666" s="180"/>
      <c r="H666" s="181"/>
      <c r="M666" s="182"/>
    </row>
    <row r="667">
      <c r="A667" s="179"/>
      <c r="F667" s="180"/>
      <c r="H667" s="181"/>
      <c r="M667" s="182"/>
    </row>
    <row r="668">
      <c r="A668" s="179"/>
      <c r="F668" s="180"/>
      <c r="H668" s="181"/>
      <c r="M668" s="182"/>
    </row>
    <row r="669">
      <c r="A669" s="179"/>
      <c r="F669" s="180"/>
      <c r="H669" s="181"/>
      <c r="M669" s="182"/>
    </row>
    <row r="670">
      <c r="A670" s="179"/>
      <c r="F670" s="180"/>
      <c r="H670" s="181"/>
      <c r="M670" s="182"/>
    </row>
    <row r="671">
      <c r="A671" s="179"/>
      <c r="F671" s="180"/>
      <c r="H671" s="181"/>
      <c r="M671" s="182"/>
    </row>
    <row r="672">
      <c r="A672" s="179"/>
      <c r="F672" s="180"/>
      <c r="H672" s="181"/>
      <c r="M672" s="182"/>
    </row>
    <row r="673">
      <c r="A673" s="179"/>
      <c r="F673" s="180"/>
      <c r="H673" s="181"/>
      <c r="M673" s="182"/>
    </row>
    <row r="674">
      <c r="A674" s="179"/>
      <c r="F674" s="180"/>
      <c r="H674" s="181"/>
      <c r="M674" s="182"/>
    </row>
    <row r="675">
      <c r="A675" s="179"/>
      <c r="F675" s="180"/>
      <c r="H675" s="181"/>
      <c r="M675" s="182"/>
    </row>
    <row r="676">
      <c r="A676" s="179"/>
      <c r="F676" s="180"/>
      <c r="H676" s="181"/>
      <c r="M676" s="182"/>
    </row>
    <row r="677">
      <c r="A677" s="179"/>
      <c r="F677" s="180"/>
      <c r="H677" s="181"/>
      <c r="M677" s="182"/>
    </row>
    <row r="678">
      <c r="A678" s="179"/>
      <c r="F678" s="180"/>
      <c r="H678" s="181"/>
      <c r="M678" s="182"/>
    </row>
    <row r="679">
      <c r="A679" s="179"/>
      <c r="F679" s="180"/>
      <c r="H679" s="181"/>
      <c r="M679" s="182"/>
    </row>
    <row r="680">
      <c r="A680" s="179"/>
      <c r="F680" s="180"/>
      <c r="H680" s="181"/>
      <c r="M680" s="182"/>
    </row>
    <row r="681">
      <c r="A681" s="179"/>
      <c r="F681" s="180"/>
      <c r="H681" s="181"/>
      <c r="M681" s="182"/>
    </row>
    <row r="682">
      <c r="A682" s="179"/>
      <c r="F682" s="180"/>
      <c r="H682" s="181"/>
      <c r="M682" s="182"/>
    </row>
    <row r="683">
      <c r="A683" s="179"/>
      <c r="F683" s="180"/>
      <c r="H683" s="181"/>
      <c r="M683" s="182"/>
    </row>
    <row r="684">
      <c r="A684" s="179"/>
      <c r="F684" s="180"/>
      <c r="H684" s="181"/>
      <c r="M684" s="182"/>
    </row>
    <row r="685">
      <c r="A685" s="179"/>
      <c r="F685" s="180"/>
      <c r="H685" s="181"/>
      <c r="M685" s="182"/>
    </row>
    <row r="686">
      <c r="A686" s="179"/>
      <c r="F686" s="180"/>
      <c r="H686" s="181"/>
      <c r="M686" s="182"/>
    </row>
    <row r="687">
      <c r="A687" s="179"/>
      <c r="F687" s="180"/>
      <c r="H687" s="181"/>
      <c r="M687" s="182"/>
    </row>
    <row r="688">
      <c r="A688" s="179"/>
      <c r="F688" s="180"/>
      <c r="H688" s="181"/>
      <c r="M688" s="182"/>
    </row>
    <row r="689">
      <c r="A689" s="179"/>
      <c r="F689" s="180"/>
      <c r="H689" s="181"/>
      <c r="M689" s="182"/>
    </row>
    <row r="690">
      <c r="A690" s="179"/>
      <c r="F690" s="180"/>
      <c r="H690" s="181"/>
      <c r="M690" s="182"/>
    </row>
    <row r="691">
      <c r="A691" s="179"/>
      <c r="F691" s="180"/>
      <c r="H691" s="181"/>
      <c r="M691" s="182"/>
    </row>
    <row r="692">
      <c r="A692" s="179"/>
      <c r="F692" s="180"/>
      <c r="H692" s="181"/>
      <c r="M692" s="182"/>
    </row>
    <row r="693">
      <c r="A693" s="179"/>
      <c r="F693" s="180"/>
      <c r="H693" s="181"/>
      <c r="M693" s="182"/>
    </row>
    <row r="694">
      <c r="A694" s="179"/>
      <c r="F694" s="180"/>
      <c r="H694" s="181"/>
      <c r="M694" s="182"/>
    </row>
    <row r="695">
      <c r="A695" s="179"/>
      <c r="F695" s="180"/>
      <c r="H695" s="181"/>
      <c r="M695" s="182"/>
    </row>
    <row r="696">
      <c r="A696" s="179"/>
      <c r="F696" s="180"/>
      <c r="H696" s="181"/>
      <c r="M696" s="182"/>
    </row>
    <row r="697">
      <c r="A697" s="179"/>
      <c r="F697" s="180"/>
      <c r="H697" s="181"/>
      <c r="M697" s="182"/>
    </row>
    <row r="698">
      <c r="A698" s="179"/>
      <c r="F698" s="180"/>
      <c r="H698" s="181"/>
      <c r="M698" s="182"/>
    </row>
    <row r="699">
      <c r="A699" s="179"/>
      <c r="F699" s="180"/>
      <c r="H699" s="181"/>
      <c r="M699" s="182"/>
    </row>
    <row r="700">
      <c r="A700" s="179"/>
      <c r="F700" s="180"/>
      <c r="H700" s="181"/>
      <c r="M700" s="182"/>
    </row>
    <row r="701">
      <c r="A701" s="179"/>
      <c r="F701" s="180"/>
      <c r="H701" s="181"/>
      <c r="M701" s="182"/>
    </row>
    <row r="702">
      <c r="A702" s="179"/>
      <c r="F702" s="180"/>
      <c r="H702" s="181"/>
      <c r="M702" s="182"/>
    </row>
    <row r="703">
      <c r="A703" s="179"/>
      <c r="F703" s="180"/>
      <c r="H703" s="181"/>
      <c r="M703" s="182"/>
    </row>
    <row r="704">
      <c r="A704" s="179"/>
      <c r="F704" s="180"/>
      <c r="H704" s="181"/>
      <c r="M704" s="182"/>
    </row>
    <row r="705">
      <c r="A705" s="179"/>
      <c r="F705" s="180"/>
      <c r="H705" s="181"/>
      <c r="M705" s="182"/>
    </row>
    <row r="706">
      <c r="A706" s="179"/>
      <c r="F706" s="180"/>
      <c r="H706" s="181"/>
      <c r="M706" s="182"/>
    </row>
    <row r="707">
      <c r="A707" s="179"/>
      <c r="F707" s="180"/>
      <c r="H707" s="181"/>
      <c r="M707" s="182"/>
    </row>
    <row r="708">
      <c r="A708" s="179"/>
      <c r="F708" s="180"/>
      <c r="H708" s="181"/>
      <c r="M708" s="182"/>
    </row>
    <row r="709">
      <c r="A709" s="179"/>
      <c r="F709" s="180"/>
      <c r="H709" s="181"/>
      <c r="M709" s="182"/>
    </row>
    <row r="710">
      <c r="A710" s="179"/>
      <c r="F710" s="180"/>
      <c r="H710" s="181"/>
      <c r="M710" s="182"/>
    </row>
    <row r="711">
      <c r="A711" s="179"/>
      <c r="F711" s="180"/>
      <c r="H711" s="181"/>
      <c r="M711" s="182"/>
    </row>
    <row r="712">
      <c r="A712" s="179"/>
      <c r="F712" s="180"/>
      <c r="H712" s="181"/>
      <c r="M712" s="182"/>
    </row>
    <row r="713">
      <c r="A713" s="179"/>
      <c r="F713" s="180"/>
      <c r="H713" s="181"/>
      <c r="M713" s="182"/>
    </row>
    <row r="714">
      <c r="A714" s="179"/>
      <c r="F714" s="180"/>
      <c r="H714" s="181"/>
      <c r="M714" s="182"/>
    </row>
    <row r="715">
      <c r="A715" s="179"/>
      <c r="F715" s="180"/>
      <c r="H715" s="181"/>
      <c r="M715" s="182"/>
    </row>
    <row r="716">
      <c r="A716" s="179"/>
      <c r="F716" s="180"/>
      <c r="H716" s="181"/>
      <c r="M716" s="182"/>
    </row>
    <row r="717">
      <c r="A717" s="179"/>
      <c r="F717" s="180"/>
      <c r="H717" s="181"/>
      <c r="M717" s="182"/>
    </row>
    <row r="718">
      <c r="A718" s="179"/>
      <c r="F718" s="180"/>
      <c r="H718" s="181"/>
      <c r="M718" s="182"/>
    </row>
    <row r="719">
      <c r="A719" s="179"/>
      <c r="F719" s="180"/>
      <c r="H719" s="181"/>
      <c r="M719" s="182"/>
    </row>
    <row r="720">
      <c r="A720" s="179"/>
      <c r="F720" s="180"/>
      <c r="H720" s="181"/>
      <c r="M720" s="182"/>
    </row>
    <row r="721">
      <c r="A721" s="179"/>
      <c r="F721" s="180"/>
      <c r="H721" s="181"/>
      <c r="M721" s="182"/>
    </row>
    <row r="722">
      <c r="A722" s="179"/>
      <c r="F722" s="180"/>
      <c r="H722" s="181"/>
      <c r="M722" s="182"/>
    </row>
    <row r="723">
      <c r="A723" s="179"/>
      <c r="F723" s="180"/>
      <c r="H723" s="181"/>
      <c r="M723" s="182"/>
    </row>
    <row r="724">
      <c r="A724" s="179"/>
      <c r="F724" s="180"/>
      <c r="H724" s="181"/>
      <c r="M724" s="182"/>
    </row>
    <row r="725">
      <c r="A725" s="179"/>
      <c r="F725" s="180"/>
      <c r="H725" s="181"/>
      <c r="M725" s="182"/>
    </row>
    <row r="726">
      <c r="A726" s="179"/>
      <c r="F726" s="180"/>
      <c r="H726" s="181"/>
      <c r="M726" s="182"/>
    </row>
    <row r="727">
      <c r="A727" s="179"/>
      <c r="F727" s="180"/>
      <c r="H727" s="181"/>
      <c r="M727" s="182"/>
    </row>
    <row r="728">
      <c r="A728" s="179"/>
      <c r="F728" s="180"/>
      <c r="H728" s="181"/>
      <c r="M728" s="182"/>
    </row>
    <row r="729">
      <c r="A729" s="179"/>
      <c r="F729" s="180"/>
      <c r="H729" s="181"/>
      <c r="M729" s="182"/>
    </row>
    <row r="730">
      <c r="A730" s="179"/>
      <c r="F730" s="180"/>
      <c r="H730" s="181"/>
      <c r="M730" s="182"/>
    </row>
    <row r="731">
      <c r="A731" s="179"/>
      <c r="F731" s="180"/>
      <c r="H731" s="181"/>
      <c r="M731" s="182"/>
    </row>
    <row r="732">
      <c r="A732" s="179"/>
      <c r="F732" s="180"/>
      <c r="H732" s="181"/>
      <c r="M732" s="182"/>
    </row>
    <row r="733">
      <c r="A733" s="179"/>
      <c r="F733" s="180"/>
      <c r="H733" s="181"/>
      <c r="M733" s="182"/>
    </row>
    <row r="734">
      <c r="A734" s="179"/>
      <c r="F734" s="180"/>
      <c r="H734" s="181"/>
      <c r="M734" s="182"/>
    </row>
    <row r="735">
      <c r="A735" s="179"/>
      <c r="F735" s="180"/>
      <c r="H735" s="181"/>
      <c r="M735" s="182"/>
    </row>
    <row r="736">
      <c r="A736" s="179"/>
      <c r="F736" s="180"/>
      <c r="H736" s="181"/>
      <c r="M736" s="182"/>
    </row>
    <row r="737">
      <c r="A737" s="179"/>
      <c r="F737" s="180"/>
      <c r="H737" s="181"/>
      <c r="M737" s="182"/>
    </row>
    <row r="738">
      <c r="A738" s="179"/>
      <c r="F738" s="180"/>
      <c r="H738" s="181"/>
      <c r="M738" s="182"/>
    </row>
    <row r="739">
      <c r="A739" s="179"/>
      <c r="F739" s="180"/>
      <c r="H739" s="181"/>
      <c r="M739" s="182"/>
    </row>
    <row r="740">
      <c r="A740" s="179"/>
      <c r="F740" s="180"/>
      <c r="H740" s="181"/>
      <c r="M740" s="182"/>
    </row>
    <row r="741">
      <c r="A741" s="179"/>
      <c r="F741" s="180"/>
      <c r="H741" s="181"/>
      <c r="M741" s="182"/>
    </row>
    <row r="742">
      <c r="A742" s="179"/>
      <c r="F742" s="180"/>
      <c r="H742" s="181"/>
      <c r="M742" s="182"/>
    </row>
    <row r="743">
      <c r="A743" s="179"/>
      <c r="F743" s="180"/>
      <c r="H743" s="181"/>
      <c r="M743" s="182"/>
    </row>
    <row r="744">
      <c r="A744" s="179"/>
      <c r="F744" s="180"/>
      <c r="H744" s="181"/>
      <c r="M744" s="182"/>
    </row>
    <row r="745">
      <c r="A745" s="179"/>
      <c r="F745" s="180"/>
      <c r="H745" s="181"/>
      <c r="M745" s="182"/>
    </row>
    <row r="746">
      <c r="A746" s="179"/>
      <c r="F746" s="180"/>
      <c r="H746" s="181"/>
      <c r="M746" s="182"/>
    </row>
    <row r="747">
      <c r="A747" s="179"/>
      <c r="F747" s="180"/>
      <c r="H747" s="181"/>
      <c r="M747" s="182"/>
    </row>
    <row r="748">
      <c r="A748" s="179"/>
      <c r="F748" s="180"/>
      <c r="H748" s="181"/>
      <c r="M748" s="182"/>
    </row>
    <row r="749">
      <c r="A749" s="179"/>
      <c r="F749" s="180"/>
      <c r="H749" s="181"/>
      <c r="M749" s="182"/>
    </row>
    <row r="750">
      <c r="A750" s="179"/>
      <c r="F750" s="180"/>
      <c r="H750" s="181"/>
      <c r="M750" s="182"/>
    </row>
    <row r="751">
      <c r="A751" s="179"/>
      <c r="F751" s="180"/>
      <c r="H751" s="181"/>
      <c r="M751" s="182"/>
    </row>
    <row r="752">
      <c r="A752" s="179"/>
      <c r="F752" s="180"/>
      <c r="H752" s="181"/>
      <c r="M752" s="182"/>
    </row>
    <row r="753">
      <c r="A753" s="179"/>
      <c r="F753" s="180"/>
      <c r="H753" s="181"/>
      <c r="M753" s="182"/>
    </row>
    <row r="754">
      <c r="A754" s="179"/>
      <c r="F754" s="180"/>
      <c r="H754" s="181"/>
      <c r="M754" s="182"/>
    </row>
    <row r="755">
      <c r="A755" s="179"/>
      <c r="F755" s="180"/>
      <c r="H755" s="181"/>
      <c r="M755" s="182"/>
    </row>
    <row r="756">
      <c r="A756" s="179"/>
      <c r="F756" s="180"/>
      <c r="H756" s="181"/>
      <c r="M756" s="182"/>
    </row>
    <row r="757">
      <c r="A757" s="179"/>
      <c r="F757" s="180"/>
      <c r="H757" s="181"/>
      <c r="M757" s="182"/>
    </row>
    <row r="758">
      <c r="A758" s="179"/>
      <c r="F758" s="180"/>
      <c r="H758" s="181"/>
      <c r="M758" s="182"/>
    </row>
    <row r="759">
      <c r="A759" s="179"/>
      <c r="F759" s="180"/>
      <c r="H759" s="181"/>
      <c r="M759" s="182"/>
    </row>
    <row r="760">
      <c r="A760" s="179"/>
      <c r="F760" s="180"/>
      <c r="H760" s="181"/>
      <c r="M760" s="182"/>
    </row>
    <row r="761">
      <c r="A761" s="179"/>
      <c r="F761" s="180"/>
      <c r="H761" s="181"/>
      <c r="M761" s="182"/>
    </row>
    <row r="762">
      <c r="A762" s="179"/>
      <c r="F762" s="180"/>
      <c r="H762" s="181"/>
      <c r="M762" s="182"/>
    </row>
    <row r="763">
      <c r="A763" s="179"/>
      <c r="F763" s="180"/>
      <c r="H763" s="181"/>
      <c r="M763" s="182"/>
    </row>
    <row r="764">
      <c r="A764" s="179"/>
      <c r="F764" s="180"/>
      <c r="H764" s="181"/>
      <c r="M764" s="182"/>
    </row>
    <row r="765">
      <c r="A765" s="179"/>
      <c r="F765" s="180"/>
      <c r="H765" s="181"/>
      <c r="M765" s="182"/>
    </row>
    <row r="766">
      <c r="A766" s="179"/>
      <c r="F766" s="180"/>
      <c r="H766" s="181"/>
      <c r="M766" s="182"/>
    </row>
    <row r="767">
      <c r="A767" s="179"/>
      <c r="F767" s="180"/>
      <c r="H767" s="181"/>
      <c r="M767" s="182"/>
    </row>
    <row r="768">
      <c r="A768" s="179"/>
      <c r="F768" s="180"/>
      <c r="H768" s="181"/>
      <c r="M768" s="182"/>
    </row>
    <row r="769">
      <c r="A769" s="179"/>
      <c r="F769" s="180"/>
      <c r="H769" s="181"/>
      <c r="M769" s="182"/>
    </row>
    <row r="770">
      <c r="A770" s="179"/>
      <c r="F770" s="180"/>
      <c r="H770" s="181"/>
      <c r="M770" s="182"/>
    </row>
    <row r="771">
      <c r="A771" s="179"/>
      <c r="F771" s="180"/>
      <c r="H771" s="181"/>
      <c r="M771" s="182"/>
    </row>
    <row r="772">
      <c r="A772" s="179"/>
      <c r="F772" s="180"/>
      <c r="H772" s="181"/>
      <c r="M772" s="182"/>
    </row>
    <row r="773">
      <c r="A773" s="179"/>
      <c r="F773" s="180"/>
      <c r="H773" s="181"/>
      <c r="M773" s="182"/>
    </row>
    <row r="774">
      <c r="A774" s="179"/>
      <c r="F774" s="180"/>
      <c r="H774" s="181"/>
      <c r="M774" s="182"/>
    </row>
    <row r="775">
      <c r="A775" s="179"/>
      <c r="F775" s="180"/>
      <c r="H775" s="181"/>
      <c r="M775" s="182"/>
    </row>
    <row r="776">
      <c r="A776" s="179"/>
      <c r="F776" s="180"/>
      <c r="H776" s="181"/>
      <c r="M776" s="182"/>
    </row>
    <row r="777">
      <c r="A777" s="179"/>
      <c r="F777" s="180"/>
      <c r="H777" s="181"/>
      <c r="M777" s="182"/>
    </row>
    <row r="778">
      <c r="A778" s="179"/>
      <c r="F778" s="180"/>
      <c r="H778" s="181"/>
      <c r="M778" s="182"/>
    </row>
    <row r="779">
      <c r="A779" s="179"/>
      <c r="F779" s="180"/>
      <c r="H779" s="181"/>
      <c r="M779" s="182"/>
    </row>
    <row r="780">
      <c r="A780" s="179"/>
      <c r="F780" s="180"/>
      <c r="H780" s="181"/>
      <c r="M780" s="182"/>
    </row>
    <row r="781">
      <c r="A781" s="179"/>
      <c r="F781" s="180"/>
      <c r="H781" s="181"/>
      <c r="M781" s="182"/>
    </row>
    <row r="782">
      <c r="A782" s="179"/>
      <c r="F782" s="180"/>
      <c r="H782" s="181"/>
      <c r="M782" s="182"/>
    </row>
    <row r="783">
      <c r="A783" s="179"/>
      <c r="F783" s="180"/>
      <c r="H783" s="181"/>
      <c r="M783" s="182"/>
    </row>
    <row r="784">
      <c r="A784" s="179"/>
      <c r="F784" s="180"/>
      <c r="H784" s="181"/>
      <c r="M784" s="182"/>
    </row>
    <row r="785">
      <c r="A785" s="179"/>
      <c r="F785" s="180"/>
      <c r="H785" s="181"/>
      <c r="M785" s="182"/>
    </row>
    <row r="786">
      <c r="A786" s="179"/>
      <c r="F786" s="180"/>
      <c r="H786" s="181"/>
      <c r="M786" s="182"/>
    </row>
    <row r="787">
      <c r="A787" s="179"/>
      <c r="F787" s="180"/>
      <c r="H787" s="181"/>
      <c r="M787" s="182"/>
    </row>
    <row r="788">
      <c r="A788" s="179"/>
      <c r="F788" s="180"/>
      <c r="H788" s="181"/>
      <c r="M788" s="182"/>
    </row>
    <row r="789">
      <c r="A789" s="179"/>
      <c r="F789" s="180"/>
      <c r="H789" s="181"/>
      <c r="M789" s="182"/>
    </row>
    <row r="790">
      <c r="A790" s="179"/>
      <c r="F790" s="180"/>
      <c r="H790" s="181"/>
      <c r="M790" s="182"/>
    </row>
    <row r="791">
      <c r="A791" s="179"/>
      <c r="F791" s="180"/>
      <c r="H791" s="181"/>
      <c r="M791" s="182"/>
    </row>
    <row r="792">
      <c r="A792" s="179"/>
      <c r="F792" s="180"/>
      <c r="H792" s="181"/>
      <c r="M792" s="182"/>
    </row>
    <row r="793">
      <c r="A793" s="179"/>
      <c r="F793" s="180"/>
      <c r="H793" s="181"/>
      <c r="M793" s="182"/>
    </row>
    <row r="794">
      <c r="A794" s="179"/>
      <c r="F794" s="180"/>
      <c r="H794" s="181"/>
      <c r="M794" s="182"/>
    </row>
    <row r="795">
      <c r="A795" s="179"/>
      <c r="F795" s="180"/>
      <c r="H795" s="181"/>
      <c r="M795" s="182"/>
    </row>
    <row r="796">
      <c r="A796" s="179"/>
      <c r="F796" s="180"/>
      <c r="H796" s="181"/>
      <c r="M796" s="182"/>
    </row>
    <row r="797">
      <c r="A797" s="179"/>
      <c r="F797" s="180"/>
      <c r="H797" s="181"/>
      <c r="M797" s="182"/>
    </row>
    <row r="798">
      <c r="A798" s="179"/>
      <c r="F798" s="180"/>
      <c r="H798" s="181"/>
      <c r="M798" s="182"/>
    </row>
    <row r="799">
      <c r="A799" s="179"/>
      <c r="F799" s="180"/>
      <c r="H799" s="181"/>
      <c r="M799" s="182"/>
    </row>
    <row r="800">
      <c r="A800" s="179"/>
      <c r="F800" s="180"/>
      <c r="H800" s="181"/>
      <c r="M800" s="182"/>
    </row>
    <row r="801">
      <c r="A801" s="179"/>
      <c r="F801" s="180"/>
      <c r="H801" s="181"/>
      <c r="M801" s="182"/>
    </row>
    <row r="802">
      <c r="A802" s="179"/>
      <c r="F802" s="180"/>
      <c r="H802" s="181"/>
      <c r="M802" s="182"/>
    </row>
    <row r="803">
      <c r="A803" s="179"/>
      <c r="F803" s="180"/>
      <c r="H803" s="181"/>
      <c r="M803" s="182"/>
    </row>
    <row r="804">
      <c r="A804" s="179"/>
      <c r="F804" s="180"/>
      <c r="H804" s="181"/>
      <c r="M804" s="182"/>
    </row>
    <row r="805">
      <c r="A805" s="179"/>
      <c r="F805" s="180"/>
      <c r="H805" s="181"/>
      <c r="M805" s="182"/>
    </row>
    <row r="806">
      <c r="A806" s="179"/>
      <c r="F806" s="180"/>
      <c r="H806" s="181"/>
      <c r="M806" s="182"/>
    </row>
    <row r="807">
      <c r="A807" s="179"/>
      <c r="F807" s="180"/>
      <c r="H807" s="181"/>
      <c r="M807" s="182"/>
    </row>
    <row r="808">
      <c r="A808" s="179"/>
      <c r="F808" s="180"/>
      <c r="H808" s="181"/>
      <c r="M808" s="182"/>
    </row>
    <row r="809">
      <c r="A809" s="179"/>
      <c r="F809" s="180"/>
      <c r="H809" s="181"/>
      <c r="M809" s="182"/>
    </row>
    <row r="810">
      <c r="A810" s="179"/>
      <c r="F810" s="180"/>
      <c r="H810" s="181"/>
      <c r="M810" s="182"/>
    </row>
    <row r="811">
      <c r="A811" s="179"/>
      <c r="F811" s="180"/>
      <c r="H811" s="181"/>
      <c r="M811" s="182"/>
    </row>
    <row r="812">
      <c r="A812" s="179"/>
      <c r="F812" s="180"/>
      <c r="H812" s="181"/>
      <c r="M812" s="182"/>
    </row>
    <row r="813">
      <c r="A813" s="179"/>
      <c r="F813" s="180"/>
      <c r="H813" s="181"/>
      <c r="M813" s="182"/>
    </row>
    <row r="814">
      <c r="A814" s="179"/>
      <c r="F814" s="180"/>
      <c r="H814" s="181"/>
      <c r="M814" s="182"/>
    </row>
    <row r="815">
      <c r="A815" s="179"/>
      <c r="F815" s="180"/>
      <c r="H815" s="181"/>
      <c r="M815" s="182"/>
    </row>
    <row r="816">
      <c r="A816" s="179"/>
      <c r="F816" s="180"/>
      <c r="H816" s="181"/>
      <c r="M816" s="182"/>
    </row>
    <row r="817">
      <c r="A817" s="179"/>
      <c r="F817" s="180"/>
      <c r="H817" s="181"/>
      <c r="M817" s="182"/>
    </row>
    <row r="818">
      <c r="A818" s="179"/>
      <c r="F818" s="180"/>
      <c r="H818" s="181"/>
      <c r="M818" s="182"/>
    </row>
    <row r="819">
      <c r="A819" s="179"/>
      <c r="F819" s="180"/>
      <c r="H819" s="181"/>
      <c r="M819" s="182"/>
    </row>
    <row r="820">
      <c r="A820" s="179"/>
      <c r="F820" s="180"/>
      <c r="H820" s="181"/>
      <c r="M820" s="182"/>
    </row>
    <row r="821">
      <c r="A821" s="179"/>
      <c r="F821" s="180"/>
      <c r="H821" s="181"/>
      <c r="M821" s="182"/>
    </row>
    <row r="822">
      <c r="A822" s="179"/>
      <c r="F822" s="180"/>
      <c r="H822" s="181"/>
      <c r="M822" s="182"/>
    </row>
    <row r="823">
      <c r="A823" s="179"/>
      <c r="F823" s="180"/>
      <c r="H823" s="181"/>
      <c r="M823" s="182"/>
    </row>
    <row r="824">
      <c r="A824" s="179"/>
      <c r="F824" s="180"/>
      <c r="H824" s="181"/>
      <c r="M824" s="182"/>
    </row>
    <row r="825">
      <c r="A825" s="179"/>
      <c r="F825" s="180"/>
      <c r="H825" s="181"/>
      <c r="M825" s="182"/>
    </row>
    <row r="826">
      <c r="A826" s="179"/>
      <c r="F826" s="180"/>
      <c r="H826" s="181"/>
      <c r="M826" s="182"/>
    </row>
    <row r="827">
      <c r="A827" s="179"/>
      <c r="F827" s="180"/>
      <c r="H827" s="181"/>
      <c r="M827" s="182"/>
    </row>
    <row r="828">
      <c r="A828" s="179"/>
      <c r="F828" s="180"/>
      <c r="H828" s="181"/>
      <c r="M828" s="182"/>
    </row>
    <row r="829">
      <c r="A829" s="179"/>
      <c r="F829" s="180"/>
      <c r="H829" s="181"/>
      <c r="M829" s="182"/>
    </row>
    <row r="830">
      <c r="A830" s="179"/>
      <c r="F830" s="180"/>
      <c r="H830" s="181"/>
      <c r="M830" s="182"/>
    </row>
    <row r="831">
      <c r="A831" s="179"/>
      <c r="F831" s="180"/>
      <c r="H831" s="181"/>
      <c r="M831" s="182"/>
    </row>
    <row r="832">
      <c r="A832" s="179"/>
      <c r="F832" s="180"/>
      <c r="H832" s="181"/>
      <c r="M832" s="182"/>
    </row>
    <row r="833">
      <c r="A833" s="179"/>
      <c r="F833" s="180"/>
      <c r="H833" s="181"/>
      <c r="M833" s="182"/>
    </row>
    <row r="834">
      <c r="A834" s="179"/>
      <c r="F834" s="180"/>
      <c r="H834" s="181"/>
      <c r="M834" s="182"/>
    </row>
    <row r="835">
      <c r="A835" s="179"/>
      <c r="F835" s="180"/>
      <c r="H835" s="181"/>
      <c r="M835" s="182"/>
    </row>
    <row r="836">
      <c r="A836" s="179"/>
      <c r="F836" s="180"/>
      <c r="H836" s="181"/>
      <c r="M836" s="182"/>
    </row>
    <row r="837">
      <c r="A837" s="179"/>
      <c r="F837" s="180"/>
      <c r="H837" s="181"/>
      <c r="M837" s="182"/>
    </row>
    <row r="838">
      <c r="A838" s="179"/>
      <c r="F838" s="180"/>
      <c r="H838" s="181"/>
      <c r="M838" s="182"/>
    </row>
    <row r="839">
      <c r="A839" s="179"/>
      <c r="F839" s="180"/>
      <c r="H839" s="181"/>
      <c r="M839" s="182"/>
    </row>
    <row r="840">
      <c r="A840" s="179"/>
      <c r="F840" s="180"/>
      <c r="H840" s="181"/>
      <c r="M840" s="182"/>
    </row>
    <row r="841">
      <c r="A841" s="179"/>
      <c r="F841" s="180"/>
      <c r="H841" s="181"/>
      <c r="M841" s="182"/>
    </row>
    <row r="842">
      <c r="A842" s="179"/>
      <c r="F842" s="180"/>
      <c r="H842" s="181"/>
      <c r="M842" s="182"/>
    </row>
    <row r="843">
      <c r="A843" s="179"/>
      <c r="F843" s="180"/>
      <c r="H843" s="181"/>
      <c r="M843" s="182"/>
    </row>
    <row r="844">
      <c r="A844" s="179"/>
      <c r="F844" s="180"/>
      <c r="H844" s="181"/>
      <c r="M844" s="182"/>
    </row>
    <row r="845">
      <c r="A845" s="179"/>
      <c r="F845" s="180"/>
      <c r="H845" s="181"/>
      <c r="M845" s="182"/>
    </row>
    <row r="846">
      <c r="A846" s="179"/>
      <c r="F846" s="180"/>
      <c r="H846" s="181"/>
      <c r="M846" s="182"/>
    </row>
    <row r="847">
      <c r="A847" s="179"/>
      <c r="F847" s="180"/>
      <c r="H847" s="181"/>
      <c r="M847" s="182"/>
    </row>
    <row r="848">
      <c r="A848" s="179"/>
      <c r="F848" s="180"/>
      <c r="H848" s="181"/>
      <c r="M848" s="182"/>
    </row>
    <row r="849">
      <c r="A849" s="179"/>
      <c r="F849" s="180"/>
      <c r="H849" s="181"/>
      <c r="M849" s="182"/>
    </row>
    <row r="850">
      <c r="A850" s="179"/>
      <c r="F850" s="180"/>
      <c r="H850" s="181"/>
      <c r="M850" s="182"/>
    </row>
    <row r="851">
      <c r="A851" s="179"/>
      <c r="F851" s="180"/>
      <c r="H851" s="181"/>
      <c r="M851" s="182"/>
    </row>
    <row r="852">
      <c r="A852" s="179"/>
      <c r="F852" s="180"/>
      <c r="H852" s="181"/>
      <c r="M852" s="182"/>
    </row>
    <row r="853">
      <c r="A853" s="179"/>
      <c r="F853" s="180"/>
      <c r="H853" s="181"/>
      <c r="M853" s="182"/>
    </row>
    <row r="854">
      <c r="A854" s="179"/>
      <c r="F854" s="180"/>
      <c r="H854" s="181"/>
      <c r="M854" s="182"/>
    </row>
    <row r="855">
      <c r="A855" s="179"/>
      <c r="F855" s="180"/>
      <c r="H855" s="181"/>
      <c r="M855" s="182"/>
    </row>
    <row r="856">
      <c r="A856" s="179"/>
      <c r="F856" s="180"/>
      <c r="H856" s="181"/>
      <c r="M856" s="182"/>
    </row>
    <row r="857">
      <c r="A857" s="179"/>
      <c r="F857" s="180"/>
      <c r="H857" s="181"/>
      <c r="M857" s="182"/>
    </row>
    <row r="858">
      <c r="A858" s="179"/>
      <c r="F858" s="180"/>
      <c r="H858" s="181"/>
      <c r="M858" s="182"/>
    </row>
    <row r="859">
      <c r="A859" s="179"/>
      <c r="F859" s="180"/>
      <c r="H859" s="181"/>
      <c r="M859" s="182"/>
    </row>
    <row r="860">
      <c r="A860" s="179"/>
      <c r="F860" s="180"/>
      <c r="H860" s="181"/>
      <c r="M860" s="182"/>
    </row>
    <row r="861">
      <c r="A861" s="179"/>
      <c r="F861" s="180"/>
      <c r="H861" s="181"/>
      <c r="M861" s="182"/>
    </row>
    <row r="862">
      <c r="A862" s="179"/>
      <c r="F862" s="180"/>
      <c r="H862" s="181"/>
      <c r="M862" s="182"/>
    </row>
    <row r="863">
      <c r="A863" s="179"/>
      <c r="F863" s="180"/>
      <c r="H863" s="181"/>
      <c r="M863" s="182"/>
    </row>
    <row r="864">
      <c r="A864" s="179"/>
      <c r="F864" s="180"/>
      <c r="H864" s="181"/>
      <c r="M864" s="182"/>
    </row>
    <row r="865">
      <c r="A865" s="179"/>
      <c r="F865" s="180"/>
      <c r="H865" s="181"/>
      <c r="M865" s="182"/>
    </row>
    <row r="866">
      <c r="A866" s="179"/>
      <c r="F866" s="180"/>
      <c r="H866" s="181"/>
      <c r="M866" s="182"/>
    </row>
    <row r="867">
      <c r="A867" s="179"/>
      <c r="F867" s="180"/>
      <c r="H867" s="181"/>
      <c r="M867" s="182"/>
    </row>
    <row r="868">
      <c r="A868" s="179"/>
      <c r="F868" s="180"/>
      <c r="H868" s="181"/>
      <c r="M868" s="182"/>
    </row>
    <row r="869">
      <c r="A869" s="179"/>
      <c r="F869" s="180"/>
      <c r="H869" s="181"/>
      <c r="M869" s="182"/>
    </row>
    <row r="870">
      <c r="A870" s="179"/>
      <c r="F870" s="180"/>
      <c r="H870" s="181"/>
      <c r="M870" s="182"/>
    </row>
    <row r="871">
      <c r="A871" s="179"/>
      <c r="F871" s="180"/>
      <c r="H871" s="181"/>
      <c r="M871" s="182"/>
    </row>
    <row r="872">
      <c r="A872" s="179"/>
      <c r="F872" s="180"/>
      <c r="H872" s="181"/>
      <c r="M872" s="182"/>
    </row>
    <row r="873">
      <c r="A873" s="179"/>
      <c r="F873" s="180"/>
      <c r="H873" s="181"/>
      <c r="M873" s="182"/>
    </row>
    <row r="874">
      <c r="A874" s="179"/>
      <c r="F874" s="180"/>
      <c r="H874" s="181"/>
      <c r="M874" s="182"/>
    </row>
    <row r="875">
      <c r="A875" s="179"/>
      <c r="F875" s="180"/>
      <c r="H875" s="181"/>
      <c r="M875" s="182"/>
    </row>
    <row r="876">
      <c r="A876" s="179"/>
      <c r="F876" s="180"/>
      <c r="H876" s="181"/>
      <c r="M876" s="182"/>
    </row>
    <row r="877">
      <c r="A877" s="179"/>
      <c r="F877" s="180"/>
      <c r="H877" s="181"/>
      <c r="M877" s="182"/>
    </row>
    <row r="878">
      <c r="A878" s="179"/>
      <c r="F878" s="180"/>
      <c r="H878" s="181"/>
      <c r="M878" s="182"/>
    </row>
    <row r="879">
      <c r="A879" s="179"/>
      <c r="F879" s="180"/>
      <c r="H879" s="181"/>
      <c r="M879" s="182"/>
    </row>
    <row r="880">
      <c r="A880" s="179"/>
      <c r="F880" s="180"/>
      <c r="H880" s="181"/>
      <c r="M880" s="182"/>
    </row>
    <row r="881">
      <c r="A881" s="179"/>
      <c r="F881" s="180"/>
      <c r="H881" s="181"/>
      <c r="M881" s="182"/>
    </row>
    <row r="882">
      <c r="A882" s="179"/>
      <c r="F882" s="180"/>
      <c r="H882" s="181"/>
      <c r="M882" s="182"/>
    </row>
    <row r="883">
      <c r="A883" s="179"/>
      <c r="F883" s="180"/>
      <c r="H883" s="181"/>
      <c r="M883" s="182"/>
    </row>
    <row r="884">
      <c r="A884" s="179"/>
      <c r="F884" s="180"/>
      <c r="H884" s="181"/>
      <c r="M884" s="182"/>
    </row>
    <row r="885">
      <c r="A885" s="179"/>
      <c r="F885" s="180"/>
      <c r="H885" s="181"/>
      <c r="M885" s="182"/>
    </row>
    <row r="886">
      <c r="A886" s="179"/>
      <c r="F886" s="180"/>
      <c r="H886" s="181"/>
      <c r="M886" s="182"/>
    </row>
    <row r="887">
      <c r="A887" s="179"/>
      <c r="F887" s="180"/>
      <c r="H887" s="181"/>
      <c r="M887" s="182"/>
    </row>
    <row r="888">
      <c r="A888" s="179"/>
      <c r="F888" s="180"/>
      <c r="H888" s="181"/>
      <c r="M888" s="182"/>
    </row>
    <row r="889">
      <c r="A889" s="179"/>
      <c r="F889" s="180"/>
      <c r="H889" s="181"/>
      <c r="M889" s="182"/>
    </row>
    <row r="890">
      <c r="A890" s="179"/>
      <c r="F890" s="180"/>
      <c r="H890" s="181"/>
      <c r="M890" s="182"/>
    </row>
    <row r="891">
      <c r="A891" s="179"/>
      <c r="F891" s="180"/>
      <c r="H891" s="181"/>
      <c r="M891" s="182"/>
    </row>
    <row r="892">
      <c r="A892" s="179"/>
      <c r="F892" s="180"/>
      <c r="H892" s="181"/>
      <c r="M892" s="182"/>
    </row>
    <row r="893">
      <c r="A893" s="179"/>
      <c r="F893" s="180"/>
      <c r="H893" s="181"/>
      <c r="M893" s="182"/>
    </row>
    <row r="894">
      <c r="A894" s="179"/>
      <c r="F894" s="180"/>
      <c r="H894" s="181"/>
      <c r="M894" s="182"/>
    </row>
    <row r="895">
      <c r="A895" s="179"/>
      <c r="F895" s="180"/>
      <c r="H895" s="181"/>
      <c r="M895" s="182"/>
    </row>
    <row r="896">
      <c r="A896" s="179"/>
      <c r="F896" s="180"/>
      <c r="H896" s="181"/>
      <c r="M896" s="182"/>
    </row>
    <row r="897">
      <c r="A897" s="179"/>
      <c r="F897" s="180"/>
      <c r="H897" s="181"/>
      <c r="M897" s="182"/>
    </row>
    <row r="898">
      <c r="A898" s="179"/>
      <c r="F898" s="180"/>
      <c r="H898" s="181"/>
      <c r="M898" s="182"/>
    </row>
    <row r="899">
      <c r="A899" s="179"/>
      <c r="F899" s="180"/>
      <c r="H899" s="181"/>
      <c r="M899" s="182"/>
    </row>
    <row r="900">
      <c r="A900" s="179"/>
      <c r="F900" s="180"/>
      <c r="H900" s="181"/>
      <c r="M900" s="182"/>
    </row>
    <row r="901">
      <c r="A901" s="179"/>
      <c r="F901" s="180"/>
      <c r="H901" s="181"/>
      <c r="M901" s="182"/>
    </row>
    <row r="902">
      <c r="A902" s="179"/>
      <c r="F902" s="180"/>
      <c r="H902" s="181"/>
      <c r="M902" s="182"/>
    </row>
    <row r="903">
      <c r="A903" s="179"/>
      <c r="F903" s="180"/>
      <c r="H903" s="181"/>
      <c r="M903" s="182"/>
    </row>
    <row r="904">
      <c r="A904" s="179"/>
      <c r="F904" s="180"/>
      <c r="H904" s="181"/>
      <c r="M904" s="182"/>
    </row>
    <row r="905">
      <c r="A905" s="179"/>
      <c r="F905" s="180"/>
      <c r="H905" s="181"/>
      <c r="M905" s="182"/>
    </row>
    <row r="906">
      <c r="A906" s="179"/>
      <c r="F906" s="180"/>
      <c r="H906" s="181"/>
      <c r="M906" s="182"/>
    </row>
    <row r="907">
      <c r="A907" s="179"/>
      <c r="F907" s="180"/>
      <c r="H907" s="181"/>
      <c r="M907" s="182"/>
    </row>
    <row r="908">
      <c r="A908" s="179"/>
      <c r="F908" s="180"/>
      <c r="H908" s="181"/>
      <c r="M908" s="182"/>
    </row>
    <row r="909">
      <c r="A909" s="179"/>
      <c r="F909" s="180"/>
      <c r="H909" s="181"/>
      <c r="M909" s="182"/>
    </row>
    <row r="910">
      <c r="A910" s="179"/>
      <c r="F910" s="180"/>
      <c r="H910" s="181"/>
      <c r="M910" s="182"/>
    </row>
    <row r="911">
      <c r="A911" s="179"/>
      <c r="F911" s="180"/>
      <c r="H911" s="181"/>
      <c r="M911" s="182"/>
    </row>
    <row r="912">
      <c r="A912" s="179"/>
      <c r="F912" s="180"/>
      <c r="H912" s="181"/>
      <c r="M912" s="182"/>
    </row>
    <row r="913">
      <c r="A913" s="179"/>
      <c r="F913" s="180"/>
      <c r="H913" s="181"/>
      <c r="M913" s="182"/>
    </row>
    <row r="914">
      <c r="A914" s="179"/>
      <c r="F914" s="180"/>
      <c r="H914" s="181"/>
      <c r="M914" s="182"/>
    </row>
    <row r="915">
      <c r="A915" s="179"/>
      <c r="F915" s="180"/>
      <c r="H915" s="181"/>
      <c r="M915" s="182"/>
    </row>
    <row r="916">
      <c r="A916" s="179"/>
      <c r="F916" s="180"/>
      <c r="H916" s="181"/>
      <c r="M916" s="182"/>
    </row>
    <row r="917">
      <c r="A917" s="179"/>
      <c r="F917" s="180"/>
      <c r="H917" s="181"/>
      <c r="M917" s="182"/>
    </row>
    <row r="918">
      <c r="A918" s="179"/>
      <c r="F918" s="180"/>
      <c r="H918" s="181"/>
      <c r="M918" s="182"/>
    </row>
    <row r="919">
      <c r="A919" s="179"/>
      <c r="F919" s="180"/>
      <c r="H919" s="181"/>
      <c r="M919" s="182"/>
    </row>
    <row r="920">
      <c r="A920" s="179"/>
      <c r="F920" s="180"/>
      <c r="H920" s="181"/>
      <c r="M920" s="182"/>
    </row>
    <row r="921">
      <c r="A921" s="179"/>
      <c r="F921" s="180"/>
      <c r="H921" s="181"/>
      <c r="M921" s="182"/>
    </row>
    <row r="922">
      <c r="A922" s="179"/>
      <c r="F922" s="180"/>
      <c r="H922" s="181"/>
      <c r="M922" s="182"/>
    </row>
    <row r="923">
      <c r="A923" s="179"/>
      <c r="F923" s="180"/>
      <c r="H923" s="181"/>
      <c r="M923" s="182"/>
    </row>
    <row r="924">
      <c r="A924" s="179"/>
      <c r="F924" s="180"/>
      <c r="H924" s="181"/>
      <c r="M924" s="182"/>
    </row>
    <row r="925">
      <c r="A925" s="179"/>
      <c r="F925" s="180"/>
      <c r="H925" s="181"/>
      <c r="M925" s="182"/>
    </row>
    <row r="926">
      <c r="A926" s="179"/>
      <c r="F926" s="180"/>
      <c r="H926" s="181"/>
      <c r="M926" s="182"/>
    </row>
    <row r="927">
      <c r="A927" s="179"/>
      <c r="F927" s="180"/>
      <c r="H927" s="181"/>
      <c r="M927" s="182"/>
    </row>
    <row r="928">
      <c r="A928" s="179"/>
      <c r="F928" s="180"/>
      <c r="H928" s="181"/>
      <c r="M928" s="182"/>
    </row>
    <row r="929">
      <c r="A929" s="179"/>
      <c r="F929" s="180"/>
      <c r="H929" s="181"/>
      <c r="M929" s="182"/>
    </row>
    <row r="930">
      <c r="A930" s="179"/>
      <c r="F930" s="180"/>
      <c r="H930" s="181"/>
      <c r="M930" s="182"/>
    </row>
    <row r="931">
      <c r="A931" s="179"/>
      <c r="F931" s="180"/>
      <c r="H931" s="181"/>
      <c r="M931" s="182"/>
    </row>
    <row r="932">
      <c r="A932" s="179"/>
      <c r="F932" s="180"/>
      <c r="H932" s="181"/>
      <c r="M932" s="182"/>
    </row>
    <row r="933">
      <c r="A933" s="179"/>
      <c r="F933" s="180"/>
      <c r="H933" s="181"/>
      <c r="M933" s="182"/>
    </row>
    <row r="934">
      <c r="A934" s="179"/>
      <c r="F934" s="180"/>
      <c r="H934" s="181"/>
      <c r="M934" s="182"/>
    </row>
    <row r="935">
      <c r="A935" s="179"/>
      <c r="F935" s="180"/>
      <c r="H935" s="181"/>
      <c r="M935" s="182"/>
    </row>
    <row r="936">
      <c r="A936" s="179"/>
      <c r="F936" s="180"/>
      <c r="H936" s="181"/>
      <c r="M936" s="182"/>
    </row>
    <row r="937">
      <c r="A937" s="179"/>
      <c r="F937" s="180"/>
      <c r="H937" s="181"/>
      <c r="M937" s="182"/>
    </row>
    <row r="938">
      <c r="A938" s="179"/>
      <c r="F938" s="180"/>
      <c r="H938" s="181"/>
      <c r="M938" s="182"/>
    </row>
    <row r="939">
      <c r="A939" s="179"/>
      <c r="F939" s="180"/>
      <c r="H939" s="181"/>
      <c r="M939" s="182"/>
    </row>
    <row r="940">
      <c r="A940" s="179"/>
      <c r="F940" s="180"/>
      <c r="H940" s="181"/>
      <c r="M940" s="182"/>
    </row>
    <row r="941">
      <c r="A941" s="179"/>
      <c r="F941" s="180"/>
      <c r="H941" s="181"/>
      <c r="M941" s="182"/>
    </row>
    <row r="942">
      <c r="A942" s="179"/>
      <c r="F942" s="180"/>
      <c r="H942" s="181"/>
      <c r="M942" s="182"/>
    </row>
    <row r="943">
      <c r="A943" s="179"/>
      <c r="F943" s="180"/>
      <c r="H943" s="181"/>
      <c r="M943" s="182"/>
    </row>
    <row r="944">
      <c r="A944" s="179"/>
      <c r="F944" s="180"/>
      <c r="H944" s="181"/>
      <c r="M944" s="182"/>
    </row>
    <row r="945">
      <c r="A945" s="179"/>
      <c r="F945" s="180"/>
      <c r="H945" s="181"/>
      <c r="M945" s="182"/>
    </row>
    <row r="946">
      <c r="A946" s="179"/>
      <c r="F946" s="180"/>
      <c r="H946" s="181"/>
      <c r="M946" s="182"/>
    </row>
    <row r="947">
      <c r="A947" s="179"/>
      <c r="F947" s="180"/>
      <c r="H947" s="181"/>
      <c r="M947" s="182"/>
    </row>
    <row r="948">
      <c r="A948" s="179"/>
      <c r="F948" s="180"/>
      <c r="H948" s="181"/>
      <c r="M948" s="182"/>
    </row>
    <row r="949">
      <c r="A949" s="179"/>
      <c r="F949" s="180"/>
      <c r="H949" s="181"/>
      <c r="M949" s="182"/>
    </row>
    <row r="950">
      <c r="A950" s="179"/>
      <c r="F950" s="180"/>
      <c r="H950" s="181"/>
      <c r="M950" s="182"/>
    </row>
    <row r="951">
      <c r="A951" s="179"/>
      <c r="F951" s="180"/>
      <c r="H951" s="181"/>
      <c r="M951" s="182"/>
    </row>
    <row r="952">
      <c r="A952" s="179"/>
      <c r="F952" s="180"/>
      <c r="H952" s="181"/>
      <c r="M952" s="182"/>
    </row>
    <row r="953">
      <c r="A953" s="179"/>
      <c r="F953" s="180"/>
      <c r="H953" s="181"/>
      <c r="M953" s="182"/>
    </row>
    <row r="954">
      <c r="A954" s="179"/>
      <c r="F954" s="180"/>
      <c r="H954" s="181"/>
      <c r="M954" s="182"/>
    </row>
    <row r="955">
      <c r="A955" s="179"/>
      <c r="F955" s="180"/>
      <c r="H955" s="181"/>
      <c r="M955" s="182"/>
    </row>
    <row r="956">
      <c r="A956" s="179"/>
      <c r="F956" s="180"/>
      <c r="H956" s="181"/>
      <c r="M956" s="182"/>
    </row>
    <row r="957">
      <c r="A957" s="179"/>
      <c r="F957" s="180"/>
      <c r="H957" s="181"/>
      <c r="M957" s="182"/>
    </row>
    <row r="958">
      <c r="A958" s="179"/>
      <c r="F958" s="180"/>
      <c r="H958" s="181"/>
      <c r="M958" s="182"/>
    </row>
    <row r="959">
      <c r="A959" s="179"/>
      <c r="F959" s="180"/>
      <c r="H959" s="181"/>
      <c r="M959" s="182"/>
    </row>
    <row r="960">
      <c r="A960" s="179"/>
      <c r="F960" s="180"/>
      <c r="H960" s="181"/>
      <c r="M960" s="182"/>
    </row>
    <row r="961">
      <c r="A961" s="179"/>
      <c r="F961" s="180"/>
      <c r="H961" s="181"/>
      <c r="M961" s="182"/>
    </row>
    <row r="962">
      <c r="A962" s="179"/>
      <c r="F962" s="180"/>
      <c r="H962" s="181"/>
      <c r="M962" s="182"/>
    </row>
    <row r="963">
      <c r="A963" s="179"/>
      <c r="F963" s="180"/>
      <c r="H963" s="181"/>
      <c r="M963" s="182"/>
    </row>
    <row r="964">
      <c r="A964" s="179"/>
      <c r="F964" s="180"/>
      <c r="H964" s="181"/>
      <c r="M964" s="182"/>
    </row>
    <row r="965">
      <c r="A965" s="179"/>
      <c r="F965" s="180"/>
      <c r="H965" s="181"/>
      <c r="M965" s="182"/>
    </row>
    <row r="966">
      <c r="A966" s="179"/>
      <c r="F966" s="180"/>
      <c r="H966" s="181"/>
      <c r="M966" s="182"/>
    </row>
    <row r="967">
      <c r="A967" s="179"/>
      <c r="F967" s="180"/>
      <c r="H967" s="181"/>
      <c r="M967" s="182"/>
    </row>
    <row r="968">
      <c r="A968" s="179"/>
      <c r="F968" s="180"/>
      <c r="H968" s="181"/>
      <c r="M968" s="182"/>
    </row>
    <row r="969">
      <c r="A969" s="179"/>
      <c r="F969" s="180"/>
      <c r="H969" s="181"/>
      <c r="M969" s="182"/>
    </row>
    <row r="970">
      <c r="A970" s="179"/>
      <c r="F970" s="180"/>
      <c r="H970" s="181"/>
      <c r="M970" s="182"/>
    </row>
    <row r="971">
      <c r="A971" s="179"/>
      <c r="F971" s="180"/>
      <c r="H971" s="181"/>
      <c r="M971" s="182"/>
    </row>
    <row r="972">
      <c r="A972" s="179"/>
      <c r="F972" s="180"/>
      <c r="H972" s="181"/>
      <c r="M972" s="182"/>
    </row>
    <row r="973">
      <c r="A973" s="179"/>
      <c r="F973" s="180"/>
      <c r="H973" s="181"/>
      <c r="M973" s="182"/>
    </row>
    <row r="974">
      <c r="A974" s="179"/>
      <c r="F974" s="180"/>
      <c r="H974" s="181"/>
      <c r="M974" s="182"/>
    </row>
    <row r="975">
      <c r="A975" s="179"/>
      <c r="F975" s="180"/>
      <c r="H975" s="181"/>
      <c r="M975" s="182"/>
    </row>
    <row r="976">
      <c r="A976" s="179"/>
      <c r="F976" s="180"/>
      <c r="H976" s="181"/>
      <c r="M976" s="182"/>
    </row>
    <row r="977">
      <c r="A977" s="179"/>
      <c r="F977" s="180"/>
      <c r="H977" s="181"/>
      <c r="M977" s="182"/>
    </row>
    <row r="978">
      <c r="A978" s="179"/>
      <c r="F978" s="180"/>
      <c r="H978" s="181"/>
      <c r="M978" s="182"/>
    </row>
    <row r="979">
      <c r="A979" s="179"/>
      <c r="F979" s="180"/>
      <c r="H979" s="181"/>
      <c r="M979" s="182"/>
    </row>
    <row r="980">
      <c r="A980" s="179"/>
      <c r="F980" s="180"/>
      <c r="H980" s="181"/>
      <c r="M980" s="182"/>
    </row>
    <row r="981">
      <c r="A981" s="179"/>
      <c r="F981" s="180"/>
      <c r="H981" s="181"/>
      <c r="M981" s="182"/>
    </row>
    <row r="982">
      <c r="A982" s="179"/>
      <c r="F982" s="180"/>
      <c r="H982" s="181"/>
      <c r="M982" s="182"/>
    </row>
    <row r="983">
      <c r="A983" s="179"/>
      <c r="F983" s="180"/>
      <c r="H983" s="181"/>
      <c r="M983" s="182"/>
    </row>
    <row r="984">
      <c r="A984" s="179"/>
      <c r="F984" s="180"/>
      <c r="H984" s="181"/>
      <c r="M984" s="182"/>
    </row>
    <row r="985">
      <c r="A985" s="179"/>
      <c r="F985" s="180"/>
      <c r="H985" s="181"/>
      <c r="M985" s="182"/>
    </row>
    <row r="986">
      <c r="A986" s="179"/>
      <c r="F986" s="180"/>
      <c r="H986" s="181"/>
      <c r="M986" s="182"/>
    </row>
    <row r="987">
      <c r="A987" s="179"/>
      <c r="F987" s="180"/>
      <c r="H987" s="181"/>
      <c r="M987" s="182"/>
    </row>
    <row r="988">
      <c r="A988" s="179"/>
      <c r="F988" s="180"/>
      <c r="H988" s="181"/>
      <c r="M988" s="182"/>
    </row>
    <row r="989">
      <c r="A989" s="179"/>
      <c r="F989" s="180"/>
      <c r="H989" s="181"/>
      <c r="M989" s="182"/>
    </row>
    <row r="990">
      <c r="A990" s="179"/>
      <c r="F990" s="180"/>
      <c r="H990" s="181"/>
      <c r="M990" s="182"/>
    </row>
    <row r="991">
      <c r="A991" s="179"/>
      <c r="F991" s="180"/>
      <c r="H991" s="181"/>
      <c r="M991" s="182"/>
    </row>
    <row r="992">
      <c r="A992" s="179"/>
      <c r="F992" s="180"/>
      <c r="H992" s="181"/>
      <c r="M992" s="182"/>
    </row>
    <row r="993">
      <c r="A993" s="179"/>
      <c r="F993" s="180"/>
      <c r="H993" s="181"/>
      <c r="M993" s="182"/>
    </row>
    <row r="994">
      <c r="A994" s="179"/>
      <c r="F994" s="180"/>
      <c r="H994" s="181"/>
      <c r="M994" s="182"/>
    </row>
  </sheetData>
  <mergeCells count="1">
    <mergeCell ref="L1:M1"/>
  </mergeCells>
  <conditionalFormatting sqref="I7:I94">
    <cfRule type="expression" dxfId="4" priority="1" stopIfTrue="1">
      <formula>AND(ISNUMBER(I7),I7&lt;=0)</formula>
    </cfRule>
  </conditionalFormatting>
  <conditionalFormatting sqref="I7:I94">
    <cfRule type="expression" dxfId="5" priority="2" stopIfTrue="1">
      <formula>AND(ISNUMBER(I7),I7&lt;=5,I7&gt;0)</formula>
    </cfRule>
  </conditionalFormatting>
  <conditionalFormatting sqref="I7:I94">
    <cfRule type="expression" dxfId="6" priority="3" stopIfTrue="1">
      <formula>AND(ISNUMBER(I7),I7&gt;5)</formula>
    </cfRule>
  </conditionalFormatting>
  <conditionalFormatting sqref="J7:J94">
    <cfRule type="containsText" dxfId="7" priority="4" stopIfTrue="1" operator="containsText" text="Inviare Avviso">
      <formula>NOT(ISERROR(SEARCH(("Inviare Avviso"),(J7))))</formula>
    </cfRule>
  </conditionalFormatting>
  <conditionalFormatting sqref="J7:J94">
    <cfRule type="containsText" dxfId="6" priority="5" stopIfTrue="1" operator="containsText" text="Sufficienti">
      <formula>NOT(ISERROR(SEARCH(("Sufficienti"),(J7))))</formula>
    </cfRule>
  </conditionalFormatting>
  <conditionalFormatting sqref="L2:M94 P2:P94">
    <cfRule type="containsText" dxfId="8" priority="6" stopIfTrue="1" operator="containsText" text="Inviato">
      <formula>NOT(ISERROR(SEARCH(("Inviato"),(L2))))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38F"/>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5.88"/>
    <col customWidth="1" min="3" max="3" width="8.0"/>
    <col customWidth="1" min="4" max="4" width="14.25"/>
    <col customWidth="1" min="5" max="5" width="7.63"/>
    <col customWidth="1" min="6" max="6" width="18.75"/>
    <col customWidth="1" min="7" max="7" width="11.63"/>
    <col customWidth="1" min="8" max="8" width="21.38"/>
    <col customWidth="1" min="9" max="9" width="10.88"/>
  </cols>
  <sheetData>
    <row r="1" ht="50.25" customHeight="1">
      <c r="A1" s="13" t="s">
        <v>6</v>
      </c>
      <c r="B1" s="13" t="s">
        <v>7</v>
      </c>
      <c r="C1" s="13" t="s">
        <v>8</v>
      </c>
      <c r="D1" s="13" t="s">
        <v>9</v>
      </c>
      <c r="E1" s="13" t="s">
        <v>10</v>
      </c>
      <c r="F1" s="13" t="s">
        <v>12</v>
      </c>
      <c r="G1" s="13" t="s">
        <v>14</v>
      </c>
      <c r="H1" s="15" t="s">
        <v>15</v>
      </c>
      <c r="I1" s="15" t="s">
        <v>31</v>
      </c>
      <c r="J1" s="21"/>
    </row>
    <row r="2">
      <c r="A2" s="29">
        <v>3848055.0</v>
      </c>
      <c r="B2" s="29" t="str">
        <f t="array" ref="B2">IFERROR(VLOOKUP(A2,{Alunni!$E:$E,Alunni!$B:$B},2,0),"N/D")</f>
        <v>Bianca</v>
      </c>
      <c r="C2" s="29" t="str">
        <f t="array" ref="C2">IFERROR(VLOOKUP(A2,{Alunni!$E:$E,Alunni!$C:$C},2,0),"N/D")</f>
        <v>Bianchi</v>
      </c>
      <c r="D2" s="29">
        <f>IFERROR(VLOOKUP(A2,Alunni!$E:$F,2,0),0)</f>
        <v>59</v>
      </c>
      <c r="E2" s="29">
        <f>IFERROR(VLOOKUP(A2,Alunni!$E:$H,4,0),0)</f>
        <v>53</v>
      </c>
      <c r="F2" s="55">
        <f t="shared" ref="F2:F50" si="1">IF(A2="","",D2-E2)</f>
        <v>6</v>
      </c>
      <c r="G2" s="55" t="str">
        <f>IFERROR(VLOOKUP(A2,Alunni!$E:$L,8,0),"")</f>
        <v/>
      </c>
      <c r="H2" s="58" t="str">
        <f>IFERROR(VLOOKUP(A2,Alunni!$E:$K,7,0),"")</f>
        <v>email@email.com</v>
      </c>
      <c r="I2" s="58" t="str">
        <f>IF(F2&lt;=Impostazioni!$B$1, "Inviare Avviso", "Sufficienti")</f>
        <v>Sufficienti</v>
      </c>
      <c r="J2" s="21"/>
    </row>
    <row r="3">
      <c r="A3" s="29">
        <v>6524939.0</v>
      </c>
      <c r="B3" s="29" t="str">
        <f t="array" ref="B3">IFERROR(VLOOKUP(A3,{Alunni!$E:$E,Alunni!$B:$B},2,0),"N/D")</f>
        <v>Mario</v>
      </c>
      <c r="C3" s="29" t="str">
        <f t="array" ref="C3">IFERROR(VLOOKUP(A3,{Alunni!$E:$E,Alunni!$C:$C},2,0),"N/D")</f>
        <v>Rossi</v>
      </c>
      <c r="D3" s="29">
        <f>IFERROR(VLOOKUP(A3,Alunni!$E:$F,2,0),0)</f>
        <v>30</v>
      </c>
      <c r="E3" s="29">
        <f>IFERROR(VLOOKUP(A3,Alunni!$E:$H,4,0),0)</f>
        <v>27</v>
      </c>
      <c r="F3" s="55">
        <f t="shared" si="1"/>
        <v>3</v>
      </c>
      <c r="G3" s="29" t="str">
        <f>IFERROR(VLOOKUP(A3,Alunni!$E:$L,8,0),"")</f>
        <v>Inviato</v>
      </c>
      <c r="H3" s="58" t="str">
        <f>IFERROR(VLOOKUP(A3,Alunni!$E:$K,7,0),"")</f>
        <v>gianpiero.torrisi@gmail.com</v>
      </c>
      <c r="I3" s="58" t="str">
        <f>IF(F3&lt;=Impostazioni!$B$1, "Inviare Avviso", "Sufficienti")</f>
        <v>Inviare Avviso</v>
      </c>
      <c r="J3" s="21"/>
    </row>
    <row r="4">
      <c r="A4" s="29">
        <v>5969695.0</v>
      </c>
      <c r="B4" s="29" t="str">
        <f t="array" ref="B4">IFERROR(VLOOKUP(A4,{Alunni!$E:$E,Alunni!$B:$B},2,0),"N/D")</f>
        <v>Ciccio</v>
      </c>
      <c r="C4" s="29" t="str">
        <f t="array" ref="C4">IFERROR(VLOOKUP(A4,{Alunni!$E:$E,Alunni!$C:$C},2,0),"N/D")</f>
        <v>Pasticcio</v>
      </c>
      <c r="D4" s="29">
        <f>IFERROR(VLOOKUP(A4,Alunni!$E:$F,2,0),0)</f>
        <v>80</v>
      </c>
      <c r="E4" s="29">
        <f>IFERROR(VLOOKUP(A4,Alunni!$E:$H,4,0),0)</f>
        <v>5</v>
      </c>
      <c r="F4" s="55">
        <f t="shared" si="1"/>
        <v>75</v>
      </c>
      <c r="G4" s="55" t="str">
        <f>IFERROR(VLOOKUP(A4,Alunni!$E:$L,8,0),"")</f>
        <v/>
      </c>
      <c r="H4" s="58" t="str">
        <f>IFERROR(VLOOKUP(A4,Alunni!$E:$K,7,0),"")</f>
        <v>email@email.com</v>
      </c>
      <c r="I4" s="58" t="str">
        <f>IF(F4&lt;=Impostazioni!$B$1, "Inviare Avviso", "Sufficienti")</f>
        <v>Sufficienti</v>
      </c>
      <c r="J4" s="21"/>
    </row>
    <row r="5">
      <c r="A5" s="29">
        <v>1654165.0</v>
      </c>
      <c r="B5" s="29" t="str">
        <f t="array" ref="B5">IFERROR(VLOOKUP(A5,{Alunni!$E:$E,Alunni!$B:$B},2,0),"N/D")</f>
        <v>Pinco</v>
      </c>
      <c r="C5" s="29" t="str">
        <f t="array" ref="C5">IFERROR(VLOOKUP(A5,{Alunni!$E:$E,Alunni!$C:$C},2,0),"N/D")</f>
        <v>Pallo</v>
      </c>
      <c r="D5" s="29">
        <f>IFERROR(VLOOKUP(A5,Alunni!$E:$F,2,0),0)</f>
        <v>10</v>
      </c>
      <c r="E5" s="29">
        <f>IFERROR(VLOOKUP(A5,Alunni!$E:$H,4,0),0)</f>
        <v>6</v>
      </c>
      <c r="F5" s="55">
        <f t="shared" si="1"/>
        <v>4</v>
      </c>
      <c r="G5" s="55" t="str">
        <f>IFERROR(VLOOKUP(A5,Alunni!$E:$L,8,0),"")</f>
        <v/>
      </c>
      <c r="H5" s="58" t="str">
        <f>IFERROR(VLOOKUP(A5,Alunni!$E:$K,7,0),"")</f>
        <v>faroclaudio@gmail.com</v>
      </c>
      <c r="I5" s="58" t="str">
        <f>IF(F5&lt;=Impostazioni!$B$1, "Inviare Avviso", "Sufficienti")</f>
        <v>Inviare Avviso</v>
      </c>
      <c r="J5" s="21"/>
    </row>
    <row r="6">
      <c r="A6" s="55">
        <f>IF(Alunni!E6="","",Alunni!E6)</f>
        <v>6524940</v>
      </c>
      <c r="B6" s="55" t="str">
        <f t="array" ref="B6">IF(A6="","",IFERROR(VLOOKUP(A6,{Alunni!$E:$E,Alunni!$B:$B},2,0),"N/D"))</f>
        <v>tizio</v>
      </c>
      <c r="C6" s="55" t="str">
        <f t="array" ref="C6">IF(A6="","",IFERROR(VLOOKUP(A6,{Alunni!$E:$E,Alunni!$C:$C},2,0),"N/D"))</f>
        <v>caio</v>
      </c>
      <c r="D6" s="55">
        <f>IF(A6="","",IFERROR(VLOOKUP(A6,Alunni!$E:$F,2,0),0))</f>
        <v>10</v>
      </c>
      <c r="E6" s="55">
        <f>IF(A6="","",IFERROR(VLOOKUP(A6,Alunni!$E:$H,4,0),0))</f>
        <v>0</v>
      </c>
      <c r="F6" s="55">
        <f t="shared" si="1"/>
        <v>10</v>
      </c>
      <c r="G6" s="55" t="str">
        <f>IF(A6="","",IFERROR(VLOOKUP(A6,Alunni!$E:$L,8,0),""))</f>
        <v/>
      </c>
      <c r="H6" s="78" t="str">
        <f>IF(A6="","",IFERROR(VLOOKUP(A6,Alunni!$E:$K,7,0),""))</f>
        <v>faroclaudio@gmail.com</v>
      </c>
      <c r="I6" s="78" t="str">
        <f>IF(A6="","",IF(F6&lt;=Impostazioni!$B$1,"Inviare Avviso","Sufficienti"))</f>
        <v>Sufficienti</v>
      </c>
      <c r="J6" s="21"/>
    </row>
    <row r="7">
      <c r="A7" s="55" t="str">
        <f>IF(Alunni!E7="","",Alunni!E7)</f>
        <v/>
      </c>
      <c r="B7" s="55" t="str">
        <f t="array" ref="B7">IF(A7="","",IFERROR(VLOOKUP(A7,{Alunni!$E:$E,Alunni!$B:$B},2,0),"N/D"))</f>
        <v/>
      </c>
      <c r="C7" s="55" t="str">
        <f t="array" ref="C7">IF(A7="","",IFERROR(VLOOKUP(A7,{Alunni!$E:$E,Alunni!$C:$C},2,0),"N/D"))</f>
        <v/>
      </c>
      <c r="D7" s="55" t="str">
        <f>IF(A7="","",IFERROR(VLOOKUP(A7,Alunni!$E:$F,2,0),0))</f>
        <v/>
      </c>
      <c r="E7" s="55" t="str">
        <f>IF(A7="","",IFERROR(VLOOKUP(A7,Alunni!$E:$H,4,0),0))</f>
        <v/>
      </c>
      <c r="F7" s="55" t="str">
        <f t="shared" si="1"/>
        <v/>
      </c>
      <c r="G7" s="55" t="str">
        <f>IF(A7="","",IFERROR(VLOOKUP(A7,Alunni!$E:$L,8,0),""))</f>
        <v/>
      </c>
      <c r="H7" s="78" t="str">
        <f>IF(A7="","",IFERROR(VLOOKUP(A7,Alunni!$E:$K,7,0),""))</f>
        <v/>
      </c>
      <c r="I7" s="78" t="str">
        <f>IF(A7="","",IF(F7&lt;=Impostazioni!$B$1,"Inviare Avviso","Sufficienti"))</f>
        <v/>
      </c>
      <c r="J7" s="21"/>
    </row>
    <row r="8">
      <c r="A8" s="55" t="str">
        <f>IF(Alunni!E8="","",Alunni!E8)</f>
        <v/>
      </c>
      <c r="B8" s="55" t="str">
        <f t="array" ref="B8">IF(A8="","",IFERROR(VLOOKUP(A8,{Alunni!$E:$E,Alunni!$B:$B},2,0),"N/D"))</f>
        <v/>
      </c>
      <c r="C8" s="55" t="str">
        <f t="array" ref="C8">IF(A8="","",IFERROR(VLOOKUP(A8,{Alunni!$E:$E,Alunni!$C:$C},2,0),"N/D"))</f>
        <v/>
      </c>
      <c r="D8" s="55" t="str">
        <f>IF(A8="","",IFERROR(VLOOKUP(A8,Alunni!$E:$F,2,0),0))</f>
        <v/>
      </c>
      <c r="E8" s="55" t="str">
        <f>IF(A8="","",IFERROR(VLOOKUP(A8,Alunni!$E:$H,4,0),0))</f>
        <v/>
      </c>
      <c r="F8" s="55" t="str">
        <f t="shared" si="1"/>
        <v/>
      </c>
      <c r="G8" s="55" t="str">
        <f>IF(A8="","",IFERROR(VLOOKUP(A8,Alunni!$E:$L,8,0),""))</f>
        <v/>
      </c>
      <c r="H8" s="78" t="str">
        <f>IF(A8="","",IFERROR(VLOOKUP(A8,Alunni!$E:$K,7,0),""))</f>
        <v/>
      </c>
      <c r="I8" s="78" t="str">
        <f>IF(A8="","",IF(F8&lt;=Impostazioni!$B$1,"Inviare Avviso","Sufficienti"))</f>
        <v/>
      </c>
      <c r="J8" s="21"/>
    </row>
    <row r="9">
      <c r="A9" s="55" t="str">
        <f>IF(Alunni!E9="","",Alunni!E9)</f>
        <v/>
      </c>
      <c r="B9" s="55" t="str">
        <f t="array" ref="B9">IF(A9="","",IFERROR(VLOOKUP(A9,{Alunni!$E:$E,Alunni!$B:$B},2,0),"N/D"))</f>
        <v/>
      </c>
      <c r="C9" s="55" t="str">
        <f t="array" ref="C9">IF(A9="","",IFERROR(VLOOKUP(A9,{Alunni!$E:$E,Alunni!$C:$C},2,0),"N/D"))</f>
        <v/>
      </c>
      <c r="D9" s="55" t="str">
        <f>IF(A9="","",IFERROR(VLOOKUP(A9,Alunni!$E:$F,2,0),0))</f>
        <v/>
      </c>
      <c r="E9" s="55" t="str">
        <f>IF(A9="","",IFERROR(VLOOKUP(A9,Alunni!$E:$H,4,0),0))</f>
        <v/>
      </c>
      <c r="F9" s="55" t="str">
        <f t="shared" si="1"/>
        <v/>
      </c>
      <c r="G9" s="55" t="str">
        <f>IF(A9="","",IFERROR(VLOOKUP(A9,Alunni!$E:$L,8,0),""))</f>
        <v/>
      </c>
      <c r="H9" s="78" t="str">
        <f>IF(A9="","",IFERROR(VLOOKUP(A9,Alunni!$E:$K,7,0),""))</f>
        <v/>
      </c>
      <c r="I9" s="78" t="str">
        <f>IF(A9="","",IF(F9&lt;=Impostazioni!$B$1,"Inviare Avviso","Sufficienti"))</f>
        <v/>
      </c>
      <c r="J9" s="21"/>
    </row>
    <row r="10">
      <c r="A10" s="55" t="str">
        <f>IF(Alunni!E10="","",Alunni!E10)</f>
        <v/>
      </c>
      <c r="B10" s="55" t="str">
        <f t="array" ref="B10">IF(A10="","",IFERROR(VLOOKUP(A10,{Alunni!$E:$E,Alunni!$B:$B},2,0),"N/D"))</f>
        <v/>
      </c>
      <c r="C10" s="55" t="str">
        <f t="array" ref="C10">IF(A10="","",IFERROR(VLOOKUP(A10,{Alunni!$E:$E,Alunni!$C:$C},2,0),"N/D"))</f>
        <v/>
      </c>
      <c r="D10" s="55" t="str">
        <f>IF(A10="","",IFERROR(VLOOKUP(A10,Alunni!$E:$F,2,0),0))</f>
        <v/>
      </c>
      <c r="E10" s="55" t="str">
        <f>IF(A10="","",IFERROR(VLOOKUP(A10,Alunni!$E:$H,4,0),0))</f>
        <v/>
      </c>
      <c r="F10" s="55" t="str">
        <f t="shared" si="1"/>
        <v/>
      </c>
      <c r="G10" s="55" t="str">
        <f>IF(A10="","",IFERROR(VLOOKUP(A10,Alunni!$E:$L,8,0),""))</f>
        <v/>
      </c>
      <c r="H10" s="78" t="str">
        <f>IF(A10="","",IFERROR(VLOOKUP(A10,Alunni!$E:$K,7,0),""))</f>
        <v/>
      </c>
      <c r="I10" s="78" t="str">
        <f>IF(A10="","",IF(F10&lt;=Impostazioni!$B$1,"Inviare Avviso","Sufficienti"))</f>
        <v/>
      </c>
      <c r="J10" s="21"/>
    </row>
    <row r="11">
      <c r="A11" s="55" t="str">
        <f>IF(Alunni!E11="","",Alunni!E11)</f>
        <v/>
      </c>
      <c r="B11" s="55" t="str">
        <f t="array" ref="B11">IF(A11="","",IFERROR(VLOOKUP(A11,{Alunni!$E:$E,Alunni!$B:$B},2,0),"N/D"))</f>
        <v/>
      </c>
      <c r="C11" s="55" t="str">
        <f t="array" ref="C11">IF(A11="","",IFERROR(VLOOKUP(A11,{Alunni!$E:$E,Alunni!$C:$C},2,0),"N/D"))</f>
        <v/>
      </c>
      <c r="D11" s="55" t="str">
        <f>IF(A11="","",IFERROR(VLOOKUP(A11,Alunni!$E:$F,2,0),0))</f>
        <v/>
      </c>
      <c r="E11" s="55" t="str">
        <f>IF(A11="","",IFERROR(VLOOKUP(A11,Alunni!$E:$H,4,0),0))</f>
        <v/>
      </c>
      <c r="F11" s="55" t="str">
        <f t="shared" si="1"/>
        <v/>
      </c>
      <c r="G11" s="55" t="str">
        <f>IF(A11="","",IFERROR(VLOOKUP(A11,Alunni!$E:$L,8,0),""))</f>
        <v/>
      </c>
      <c r="H11" s="78" t="str">
        <f>IF(A11="","",IFERROR(VLOOKUP(A11,Alunni!$E:$K,7,0),""))</f>
        <v/>
      </c>
      <c r="I11" s="78" t="str">
        <f>IF(A11="","",IF(F11&lt;=Impostazioni!$B$1,"Inviare Avviso","Sufficienti"))</f>
        <v/>
      </c>
      <c r="J11" s="21"/>
    </row>
    <row r="12">
      <c r="A12" s="55" t="str">
        <f>IF(Alunni!E12="","",Alunni!E12)</f>
        <v/>
      </c>
      <c r="B12" s="55" t="str">
        <f t="array" ref="B12">IF(A12="","",IFERROR(VLOOKUP(A12,{Alunni!$E:$E,Alunni!$B:$B},2,0),"N/D"))</f>
        <v/>
      </c>
      <c r="C12" s="55" t="str">
        <f t="array" ref="C12">IF(A12="","",IFERROR(VLOOKUP(A12,{Alunni!$E:$E,Alunni!$C:$C},2,0),"N/D"))</f>
        <v/>
      </c>
      <c r="D12" s="55" t="str">
        <f>IF(A12="","",IFERROR(VLOOKUP(A12,Alunni!$E:$F,2,0),0))</f>
        <v/>
      </c>
      <c r="E12" s="55" t="str">
        <f>IF(A12="","",IFERROR(VLOOKUP(A12,Alunni!$E:$H,4,0),0))</f>
        <v/>
      </c>
      <c r="F12" s="55" t="str">
        <f t="shared" si="1"/>
        <v/>
      </c>
      <c r="G12" s="55" t="str">
        <f>IF(A12="","",IFERROR(VLOOKUP(A12,Alunni!$E:$L,8,0),""))</f>
        <v/>
      </c>
      <c r="H12" s="78" t="str">
        <f>IF(A12="","",IFERROR(VLOOKUP(A12,Alunni!$E:$K,7,0),""))</f>
        <v/>
      </c>
      <c r="I12" s="78" t="str">
        <f>IF(A12="","",IF(F12&lt;=Impostazioni!$B$1,"Inviare Avviso","Sufficienti"))</f>
        <v/>
      </c>
      <c r="J12" s="21"/>
    </row>
    <row r="13">
      <c r="A13" s="55" t="str">
        <f>IF(Alunni!E13="","",Alunni!E13)</f>
        <v/>
      </c>
      <c r="B13" s="55" t="str">
        <f t="array" ref="B13">IF(A13="","",IFERROR(VLOOKUP(A13,{Alunni!$E:$E,Alunni!$B:$B},2,0),"N/D"))</f>
        <v/>
      </c>
      <c r="C13" s="55" t="str">
        <f t="array" ref="C13">IF(A13="","",IFERROR(VLOOKUP(A13,{Alunni!$E:$E,Alunni!$C:$C},2,0),"N/D"))</f>
        <v/>
      </c>
      <c r="D13" s="55" t="str">
        <f>IF(A13="","",IFERROR(VLOOKUP(A13,Alunni!$E:$F,2,0),0))</f>
        <v/>
      </c>
      <c r="E13" s="55" t="str">
        <f>IF(A13="","",IFERROR(VLOOKUP(A13,Alunni!$E:$H,4,0),0))</f>
        <v/>
      </c>
      <c r="F13" s="55" t="str">
        <f t="shared" si="1"/>
        <v/>
      </c>
      <c r="G13" s="55" t="str">
        <f>IF(A13="","",IFERROR(VLOOKUP(A13,Alunni!$E:$L,8,0),""))</f>
        <v/>
      </c>
      <c r="H13" s="78" t="str">
        <f>IF(A13="","",IFERROR(VLOOKUP(A13,Alunni!$E:$K,7,0),""))</f>
        <v/>
      </c>
      <c r="I13" s="78" t="str">
        <f>IF(A13="","",IF(F13&lt;=Impostazioni!$B$1,"Inviare Avviso","Sufficienti"))</f>
        <v/>
      </c>
      <c r="J13" s="21"/>
    </row>
    <row r="14">
      <c r="A14" s="55" t="str">
        <f>IF(Alunni!E14="","",Alunni!E14)</f>
        <v/>
      </c>
      <c r="B14" s="55" t="str">
        <f t="array" ref="B14">IF(A14="","",IFERROR(VLOOKUP(A14,{Alunni!$E:$E,Alunni!$B:$B},2,0),"N/D"))</f>
        <v/>
      </c>
      <c r="C14" s="55" t="str">
        <f t="array" ref="C14">IF(A14="","",IFERROR(VLOOKUP(A14,{Alunni!$E:$E,Alunni!$C:$C},2,0),"N/D"))</f>
        <v/>
      </c>
      <c r="D14" s="55" t="str">
        <f>IF(A14="","",IFERROR(VLOOKUP(A14,Alunni!$E:$F,2,0),0))</f>
        <v/>
      </c>
      <c r="E14" s="55" t="str">
        <f>IF(A14="","",IFERROR(VLOOKUP(A14,Alunni!$E:$H,4,0),0))</f>
        <v/>
      </c>
      <c r="F14" s="55" t="str">
        <f t="shared" si="1"/>
        <v/>
      </c>
      <c r="G14" s="55" t="str">
        <f>IF(A14="","",IFERROR(VLOOKUP(A14,Alunni!$E:$L,8,0),""))</f>
        <v/>
      </c>
      <c r="H14" s="78" t="str">
        <f>IF(A14="","",IFERROR(VLOOKUP(A14,Alunni!$E:$K,7,0),""))</f>
        <v/>
      </c>
      <c r="I14" s="78" t="str">
        <f>IF(A14="","",IF(F14&lt;=Impostazioni!$B$1,"Inviare Avviso","Sufficienti"))</f>
        <v/>
      </c>
      <c r="J14" s="21"/>
    </row>
    <row r="15">
      <c r="A15" s="55" t="str">
        <f>IF(Alunni!E15="","",Alunni!E15)</f>
        <v/>
      </c>
      <c r="B15" s="55" t="str">
        <f t="array" ref="B15">IF(A15="","",IFERROR(VLOOKUP(A15,{Alunni!$E:$E,Alunni!$B:$B},2,0),"N/D"))</f>
        <v/>
      </c>
      <c r="C15" s="55" t="str">
        <f t="array" ref="C15">IF(A15="","",IFERROR(VLOOKUP(A15,{Alunni!$E:$E,Alunni!$C:$C},2,0),"N/D"))</f>
        <v/>
      </c>
      <c r="D15" s="55" t="str">
        <f>IF(A15="","",IFERROR(VLOOKUP(A15,Alunni!$E:$F,2,0),0))</f>
        <v/>
      </c>
      <c r="E15" s="55" t="str">
        <f>IF(A15="","",IFERROR(VLOOKUP(A15,Alunni!$E:$H,4,0),0))</f>
        <v/>
      </c>
      <c r="F15" s="55" t="str">
        <f t="shared" si="1"/>
        <v/>
      </c>
      <c r="G15" s="55" t="str">
        <f>IF(A15="","",IFERROR(VLOOKUP(A15,Alunni!$E:$L,8,0),""))</f>
        <v/>
      </c>
      <c r="H15" s="78" t="str">
        <f>IF(A15="","",IFERROR(VLOOKUP(A15,Alunni!$E:$K,7,0),""))</f>
        <v/>
      </c>
      <c r="I15" s="78" t="str">
        <f>IF(A15="","",IF(F15&lt;=Impostazioni!$B$1,"Inviare Avviso","Sufficienti"))</f>
        <v/>
      </c>
      <c r="J15" s="21"/>
    </row>
    <row r="16">
      <c r="A16" s="55" t="str">
        <f>IF(Alunni!E16="","",Alunni!E16)</f>
        <v/>
      </c>
      <c r="B16" s="55" t="str">
        <f t="array" ref="B16">IF(A16="","",IFERROR(VLOOKUP(A16,{Alunni!$E:$E,Alunni!$B:$B},2,0),"N/D"))</f>
        <v/>
      </c>
      <c r="C16" s="55" t="str">
        <f t="array" ref="C16">IF(A16="","",IFERROR(VLOOKUP(A16,{Alunni!$E:$E,Alunni!$C:$C},2,0),"N/D"))</f>
        <v/>
      </c>
      <c r="D16" s="55" t="str">
        <f>IF(A16="","",IFERROR(VLOOKUP(A16,Alunni!$E:$F,2,0),0))</f>
        <v/>
      </c>
      <c r="E16" s="55" t="str">
        <f>IF(A16="","",IFERROR(VLOOKUP(A16,Alunni!$E:$H,4,0),0))</f>
        <v/>
      </c>
      <c r="F16" s="55" t="str">
        <f t="shared" si="1"/>
        <v/>
      </c>
      <c r="G16" s="55" t="str">
        <f>IF(A16="","",IFERROR(VLOOKUP(A16,Alunni!$E:$L,8,0),""))</f>
        <v/>
      </c>
      <c r="H16" s="78" t="str">
        <f>IF(A16="","",IFERROR(VLOOKUP(A16,Alunni!$E:$K,7,0),""))</f>
        <v/>
      </c>
      <c r="I16" s="78" t="str">
        <f>IF(A16="","",IF(F16&lt;=Impostazioni!$B$1,"Inviare Avviso","Sufficienti"))</f>
        <v/>
      </c>
      <c r="J16" s="21"/>
    </row>
    <row r="17">
      <c r="A17" s="55" t="str">
        <f>IF(Alunni!E17="","",Alunni!E17)</f>
        <v/>
      </c>
      <c r="B17" s="55" t="str">
        <f t="array" ref="B17">IF(A17="","",IFERROR(VLOOKUP(A17,{Alunni!$E:$E,Alunni!$B:$B},2,0),"N/D"))</f>
        <v/>
      </c>
      <c r="C17" s="55" t="str">
        <f t="array" ref="C17">IF(A17="","",IFERROR(VLOOKUP(A17,{Alunni!$E:$E,Alunni!$C:$C},2,0),"N/D"))</f>
        <v/>
      </c>
      <c r="D17" s="55" t="str">
        <f>IF(A17="","",IFERROR(VLOOKUP(A17,Alunni!$E:$F,2,0),0))</f>
        <v/>
      </c>
      <c r="E17" s="55" t="str">
        <f>IF(A17="","",IFERROR(VLOOKUP(A17,Alunni!$E:$H,4,0),0))</f>
        <v/>
      </c>
      <c r="F17" s="55" t="str">
        <f t="shared" si="1"/>
        <v/>
      </c>
      <c r="G17" s="55" t="str">
        <f>IF(A17="","",IFERROR(VLOOKUP(A17,Alunni!$E:$L,8,0),""))</f>
        <v/>
      </c>
      <c r="H17" s="78" t="str">
        <f>IF(A17="","",IFERROR(VLOOKUP(A17,Alunni!$E:$K,7,0),""))</f>
        <v/>
      </c>
      <c r="I17" s="78" t="str">
        <f>IF(A17="","",IF(F17&lt;=Impostazioni!$B$1,"Inviare Avviso","Sufficienti"))</f>
        <v/>
      </c>
      <c r="J17" s="21"/>
    </row>
    <row r="18">
      <c r="A18" s="55" t="str">
        <f>IF(Alunni!E18="","",Alunni!E18)</f>
        <v/>
      </c>
      <c r="B18" s="55" t="str">
        <f t="array" ref="B18">IF(A18="","",IFERROR(VLOOKUP(A18,{Alunni!$E:$E,Alunni!$B:$B},2,0),"N/D"))</f>
        <v/>
      </c>
      <c r="C18" s="55" t="str">
        <f t="array" ref="C18">IF(A18="","",IFERROR(VLOOKUP(A18,{Alunni!$E:$E,Alunni!$C:$C},2,0),"N/D"))</f>
        <v/>
      </c>
      <c r="D18" s="55" t="str">
        <f>IF(A18="","",IFERROR(VLOOKUP(A18,Alunni!$E:$F,2,0),0))</f>
        <v/>
      </c>
      <c r="E18" s="55" t="str">
        <f>IF(A18="","",IFERROR(VLOOKUP(A18,Alunni!$E:$H,4,0),0))</f>
        <v/>
      </c>
      <c r="F18" s="55" t="str">
        <f t="shared" si="1"/>
        <v/>
      </c>
      <c r="G18" s="55" t="str">
        <f>IF(A18="","",IFERROR(VLOOKUP(A18,Alunni!$E:$L,8,0),""))</f>
        <v/>
      </c>
      <c r="H18" s="78" t="str">
        <f>IF(A18="","",IFERROR(VLOOKUP(A18,Alunni!$E:$K,7,0),""))</f>
        <v/>
      </c>
      <c r="I18" s="78" t="str">
        <f>IF(A18="","",IF(F18&lt;=Impostazioni!$B$1,"Inviare Avviso","Sufficienti"))</f>
        <v/>
      </c>
      <c r="J18" s="21"/>
    </row>
    <row r="19">
      <c r="A19" s="55" t="str">
        <f>IF(Alunni!E19="","",Alunni!E19)</f>
        <v/>
      </c>
      <c r="B19" s="55" t="str">
        <f t="array" ref="B19">IF(A19="","",IFERROR(VLOOKUP(A19,{Alunni!$E:$E,Alunni!$B:$B},2,0),"N/D"))</f>
        <v/>
      </c>
      <c r="C19" s="55" t="str">
        <f t="array" ref="C19">IF(A19="","",IFERROR(VLOOKUP(A19,{Alunni!$E:$E,Alunni!$C:$C},2,0),"N/D"))</f>
        <v/>
      </c>
      <c r="D19" s="55" t="str">
        <f>IF(A19="","",IFERROR(VLOOKUP(A19,Alunni!$E:$F,2,0),0))</f>
        <v/>
      </c>
      <c r="E19" s="55" t="str">
        <f>IF(A19="","",IFERROR(VLOOKUP(A19,Alunni!$E:$H,4,0),0))</f>
        <v/>
      </c>
      <c r="F19" s="55" t="str">
        <f t="shared" si="1"/>
        <v/>
      </c>
      <c r="G19" s="55" t="str">
        <f>IF(A19="","",IFERROR(VLOOKUP(A19,Alunni!$E:$L,8,0),""))</f>
        <v/>
      </c>
      <c r="H19" s="78" t="str">
        <f>IF(A19="","",IFERROR(VLOOKUP(A19,Alunni!$E:$K,7,0),""))</f>
        <v/>
      </c>
      <c r="I19" s="78" t="str">
        <f>IF(A19="","",IF(F19&lt;=Impostazioni!$B$1,"Inviare Avviso","Sufficienti"))</f>
        <v/>
      </c>
      <c r="J19" s="21"/>
    </row>
    <row r="20">
      <c r="A20" s="55" t="str">
        <f>IF(Alunni!E20="","",Alunni!E20)</f>
        <v/>
      </c>
      <c r="B20" s="55" t="str">
        <f t="array" ref="B20">IF(A20="","",IFERROR(VLOOKUP(A20,{Alunni!$E:$E,Alunni!$B:$B},2,0),"N/D"))</f>
        <v/>
      </c>
      <c r="C20" s="55" t="str">
        <f t="array" ref="C20">IF(A20="","",IFERROR(VLOOKUP(A20,{Alunni!$E:$E,Alunni!$C:$C},2,0),"N/D"))</f>
        <v/>
      </c>
      <c r="D20" s="55" t="str">
        <f>IF(A20="","",IFERROR(VLOOKUP(A20,Alunni!$E:$F,2,0),0))</f>
        <v/>
      </c>
      <c r="E20" s="55" t="str">
        <f>IF(A20="","",IFERROR(VLOOKUP(A20,Alunni!$E:$H,4,0),0))</f>
        <v/>
      </c>
      <c r="F20" s="55" t="str">
        <f t="shared" si="1"/>
        <v/>
      </c>
      <c r="G20" s="55" t="str">
        <f>IF(A20="","",IFERROR(VLOOKUP(A20,Alunni!$E:$L,8,0),""))</f>
        <v/>
      </c>
      <c r="H20" s="78" t="str">
        <f>IF(A20="","",IFERROR(VLOOKUP(A20,Alunni!$E:$K,7,0),""))</f>
        <v/>
      </c>
      <c r="I20" s="78" t="str">
        <f>IF(A20="","",IF(F20&lt;=Impostazioni!$B$1,"Inviare Avviso","Sufficienti"))</f>
        <v/>
      </c>
      <c r="J20" s="21"/>
    </row>
    <row r="21">
      <c r="A21" s="78" t="str">
        <f>IF(Alunni!E21="","",Alunni!E21)</f>
        <v/>
      </c>
      <c r="B21" s="78" t="str">
        <f t="array" ref="B21">IF(A21="","",IFERROR(VLOOKUP(A21,{Alunni!$E:$E,Alunni!$B:$B},2,0),"N/D"))</f>
        <v/>
      </c>
      <c r="C21" s="78" t="str">
        <f t="array" ref="C21">IF(A21="","",IFERROR(VLOOKUP(A21,{Alunni!$E:$E,Alunni!$C:$C},2,0),"N/D"))</f>
        <v/>
      </c>
      <c r="D21" s="78" t="str">
        <f>IF(A21="","",IFERROR(VLOOKUP(A21,Alunni!$E:$F,2,0),0))</f>
        <v/>
      </c>
      <c r="E21" s="78" t="str">
        <f>IF(A21="","",IFERROR(VLOOKUP(A21,Alunni!$E:$H,4,0),0))</f>
        <v/>
      </c>
      <c r="F21" s="78" t="str">
        <f t="shared" si="1"/>
        <v/>
      </c>
      <c r="G21" s="78" t="str">
        <f>IF(A21="","",IFERROR(VLOOKUP(A21,Alunni!$E:$L,8,0),""))</f>
        <v/>
      </c>
      <c r="H21" s="78" t="str">
        <f>IF(A21="","",IFERROR(VLOOKUP(A21,Alunni!$E:$K,7,0),""))</f>
        <v/>
      </c>
      <c r="I21" s="78" t="str">
        <f>IF(A21="","",IF(F21&lt;=Impostazioni!$B$1,"Inviare Avviso","Sufficienti"))</f>
        <v/>
      </c>
      <c r="J21" s="21"/>
    </row>
    <row r="22">
      <c r="A22" s="78" t="str">
        <f>IF(Alunni!E22="","",Alunni!E22)</f>
        <v/>
      </c>
      <c r="B22" s="78" t="str">
        <f t="array" ref="B22">IF(A22="","",IFERROR(VLOOKUP(A22,{Alunni!$E:$E,Alunni!$B:$B},2,0),"N/D"))</f>
        <v/>
      </c>
      <c r="C22" s="78" t="str">
        <f t="array" ref="C22">IF(A22="","",IFERROR(VLOOKUP(A22,{Alunni!$E:$E,Alunni!$C:$C},2,0),"N/D"))</f>
        <v/>
      </c>
      <c r="D22" s="78" t="str">
        <f>IF(A22="","",IFERROR(VLOOKUP(A22,Alunni!$E:$F,2,0),0))</f>
        <v/>
      </c>
      <c r="E22" s="78" t="str">
        <f>IF(A22="","",IFERROR(VLOOKUP(A22,Alunni!$E:$H,4,0),0))</f>
        <v/>
      </c>
      <c r="F22" s="78" t="str">
        <f t="shared" si="1"/>
        <v/>
      </c>
      <c r="G22" s="78" t="str">
        <f>IF(A22="","",IFERROR(VLOOKUP(A22,Alunni!$E:$L,8,0),""))</f>
        <v/>
      </c>
      <c r="H22" s="78" t="str">
        <f>IF(A22="","",IFERROR(VLOOKUP(A22,Alunni!$E:$K,7,0),""))</f>
        <v/>
      </c>
      <c r="I22" s="78" t="str">
        <f>IF(A22="","",IF(F22&lt;=Impostazioni!$B$1,"Inviare Avviso","Sufficienti"))</f>
        <v/>
      </c>
      <c r="J22" s="21"/>
    </row>
    <row r="23">
      <c r="A23" s="78" t="str">
        <f>IF(Alunni!E23="","",Alunni!E23)</f>
        <v/>
      </c>
      <c r="B23" s="78" t="str">
        <f t="array" ref="B23">IF(A23="","",IFERROR(VLOOKUP(A23,{Alunni!$E:$E,Alunni!$B:$B},2,0),"N/D"))</f>
        <v/>
      </c>
      <c r="C23" s="78" t="str">
        <f t="array" ref="C23">IF(A23="","",IFERROR(VLOOKUP(A23,{Alunni!$E:$E,Alunni!$C:$C},2,0),"N/D"))</f>
        <v/>
      </c>
      <c r="D23" s="78" t="str">
        <f>IF(A23="","",IFERROR(VLOOKUP(A23,Alunni!$E:$F,2,0),0))</f>
        <v/>
      </c>
      <c r="E23" s="78" t="str">
        <f>IF(A23="","",IFERROR(VLOOKUP(A23,Alunni!$E:$H,4,0),0))</f>
        <v/>
      </c>
      <c r="F23" s="78" t="str">
        <f t="shared" si="1"/>
        <v/>
      </c>
      <c r="G23" s="78" t="str">
        <f>IF(A23="","",IFERROR(VLOOKUP(A23,Alunni!$E:$L,8,0),""))</f>
        <v/>
      </c>
      <c r="H23" s="78" t="str">
        <f>IF(A23="","",IFERROR(VLOOKUP(A23,Alunni!$E:$K,7,0),""))</f>
        <v/>
      </c>
      <c r="I23" s="78" t="str">
        <f>IF(A23="","",IF(F23&lt;=Impostazioni!$B$1,"Inviare Avviso","Sufficienti"))</f>
        <v/>
      </c>
      <c r="J23" s="21"/>
    </row>
    <row r="24">
      <c r="A24" s="78" t="str">
        <f>IF(Alunni!E24="","",Alunni!E24)</f>
        <v/>
      </c>
      <c r="B24" s="78" t="str">
        <f t="array" ref="B24">IF(A24="","",IFERROR(VLOOKUP(A24,{Alunni!$E:$E,Alunni!$B:$B},2,0),"N/D"))</f>
        <v/>
      </c>
      <c r="C24" s="78" t="str">
        <f t="array" ref="C24">IF(A24="","",IFERROR(VLOOKUP(A24,{Alunni!$E:$E,Alunni!$C:$C},2,0),"N/D"))</f>
        <v/>
      </c>
      <c r="D24" s="78" t="str">
        <f>IF(A24="","",IFERROR(VLOOKUP(A24,Alunni!$E:$F,2,0),0))</f>
        <v/>
      </c>
      <c r="E24" s="78" t="str">
        <f>IF(A24="","",IFERROR(VLOOKUP(A24,Alunni!$E:$H,4,0),0))</f>
        <v/>
      </c>
      <c r="F24" s="78" t="str">
        <f t="shared" si="1"/>
        <v/>
      </c>
      <c r="G24" s="78" t="str">
        <f>IF(A24="","",IFERROR(VLOOKUP(A24,Alunni!$E:$L,8,0),""))</f>
        <v/>
      </c>
      <c r="H24" s="78" t="str">
        <f>IF(A24="","",IFERROR(VLOOKUP(A24,Alunni!$E:$K,7,0),""))</f>
        <v/>
      </c>
      <c r="I24" s="78" t="str">
        <f>IF(A24="","",IF(F24&lt;=Impostazioni!$B$1,"Inviare Avviso","Sufficienti"))</f>
        <v/>
      </c>
      <c r="J24" s="21"/>
    </row>
    <row r="25">
      <c r="A25" s="78" t="str">
        <f>IF(Alunni!E25="","",Alunni!E25)</f>
        <v/>
      </c>
      <c r="B25" s="78" t="str">
        <f t="array" ref="B25">IF(A25="","",IFERROR(VLOOKUP(A25,{Alunni!$E:$E,Alunni!$B:$B},2,0),"N/D"))</f>
        <v/>
      </c>
      <c r="C25" s="78" t="str">
        <f t="array" ref="C25">IF(A25="","",IFERROR(VLOOKUP(A25,{Alunni!$E:$E,Alunni!$C:$C},2,0),"N/D"))</f>
        <v/>
      </c>
      <c r="D25" s="78" t="str">
        <f>IF(A25="","",IFERROR(VLOOKUP(A25,Alunni!$E:$F,2,0),0))</f>
        <v/>
      </c>
      <c r="E25" s="78" t="str">
        <f>IF(A25="","",IFERROR(VLOOKUP(A25,Alunni!$E:$H,4,0),0))</f>
        <v/>
      </c>
      <c r="F25" s="78" t="str">
        <f t="shared" si="1"/>
        <v/>
      </c>
      <c r="G25" s="78" t="str">
        <f>IF(A25="","",IFERROR(VLOOKUP(A25,Alunni!$E:$L,8,0),""))</f>
        <v/>
      </c>
      <c r="H25" s="78" t="str">
        <f>IF(A25="","",IFERROR(VLOOKUP(A25,Alunni!$E:$K,7,0),""))</f>
        <v/>
      </c>
      <c r="I25" s="78" t="str">
        <f>IF(A25="","",IF(F25&lt;=Impostazioni!$B$1,"Inviare Avviso","Sufficienti"))</f>
        <v/>
      </c>
      <c r="J25" s="21"/>
    </row>
    <row r="26">
      <c r="A26" s="50" t="str">
        <f>IF(Alunni!E26="","",Alunni!E26)</f>
        <v/>
      </c>
      <c r="B26" s="50" t="str">
        <f t="array" ref="B26">IF(A26="","",IFERROR(VLOOKUP(A26,{Alunni!$E:$E,Alunni!$B:$B},2,0),"N/D"))</f>
        <v/>
      </c>
      <c r="C26" s="50" t="str">
        <f t="array" ref="C26">IF(A26="","",IFERROR(VLOOKUP(A26,{Alunni!$E:$E,Alunni!$C:$C},2,0),"N/D"))</f>
        <v/>
      </c>
      <c r="D26" s="50" t="str">
        <f>IF(A26="","",IFERROR(VLOOKUP(A26,Alunni!$E:$F,2,0),0))</f>
        <v/>
      </c>
      <c r="E26" s="50" t="str">
        <f>IF(A26="","",IFERROR(VLOOKUP(A26,Alunni!$E:$H,4,0),0))</f>
        <v/>
      </c>
      <c r="F26" s="50" t="str">
        <f t="shared" si="1"/>
        <v/>
      </c>
      <c r="G26" s="50" t="str">
        <f>IF(A26="","",IFERROR(VLOOKUP(A26,Alunni!$E:$L,8,0),""))</f>
        <v/>
      </c>
      <c r="H26" s="50" t="str">
        <f>IF(A26="","",IFERROR(VLOOKUP(A26,Alunni!$E:$K,7,0),""))</f>
        <v/>
      </c>
      <c r="I26" s="50" t="str">
        <f>IF(A26="","",IF(F26&lt;=Impostazioni!$B$1,"Inviare Avviso","Sufficienti"))</f>
        <v/>
      </c>
    </row>
    <row r="27">
      <c r="A27" s="50" t="str">
        <f>IF(Alunni!E27="","",Alunni!E27)</f>
        <v/>
      </c>
      <c r="B27" s="50" t="str">
        <f t="array" ref="B27">IF(A27="","",IFERROR(VLOOKUP(A27,{Alunni!$E:$E,Alunni!$B:$B},2,0),"N/D"))</f>
        <v/>
      </c>
      <c r="C27" s="50" t="str">
        <f t="array" ref="C27">IF(A27="","",IFERROR(VLOOKUP(A27,{Alunni!$E:$E,Alunni!$C:$C},2,0),"N/D"))</f>
        <v/>
      </c>
      <c r="D27" s="50" t="str">
        <f>IF(A27="","",IFERROR(VLOOKUP(A27,Alunni!$E:$F,2,0),0))</f>
        <v/>
      </c>
      <c r="E27" s="50" t="str">
        <f>IF(A27="","",IFERROR(VLOOKUP(A27,Alunni!$E:$H,4,0),0))</f>
        <v/>
      </c>
      <c r="F27" s="50" t="str">
        <f t="shared" si="1"/>
        <v/>
      </c>
      <c r="G27" s="50" t="str">
        <f>IF(A27="","",IFERROR(VLOOKUP(A27,Alunni!$E:$L,8,0),""))</f>
        <v/>
      </c>
      <c r="H27" s="50" t="str">
        <f>IF(A27="","",IFERROR(VLOOKUP(A27,Alunni!$E:$K,7,0),""))</f>
        <v/>
      </c>
      <c r="I27" s="50" t="str">
        <f>IF(A27="","",IF(F27&lt;=Impostazioni!$B$1,"Inviare Avviso","Sufficienti"))</f>
        <v/>
      </c>
    </row>
    <row r="28">
      <c r="A28" s="50" t="str">
        <f>IF(Alunni!E28="","",Alunni!E28)</f>
        <v/>
      </c>
      <c r="B28" s="50" t="str">
        <f t="array" ref="B28">IF(A28="","",IFERROR(VLOOKUP(A28,{Alunni!$E:$E,Alunni!$B:$B},2,0),"N/D"))</f>
        <v/>
      </c>
      <c r="C28" s="50" t="str">
        <f t="array" ref="C28">IF(A28="","",IFERROR(VLOOKUP(A28,{Alunni!$E:$E,Alunni!$C:$C},2,0),"N/D"))</f>
        <v/>
      </c>
      <c r="D28" s="50" t="str">
        <f>IF(A28="","",IFERROR(VLOOKUP(A28,Alunni!$E:$F,2,0),0))</f>
        <v/>
      </c>
      <c r="E28" s="50" t="str">
        <f>IF(A28="","",IFERROR(VLOOKUP(A28,Alunni!$E:$H,4,0),0))</f>
        <v/>
      </c>
      <c r="F28" s="50" t="str">
        <f t="shared" si="1"/>
        <v/>
      </c>
      <c r="G28" s="50" t="str">
        <f>IF(A28="","",IFERROR(VLOOKUP(A28,Alunni!$E:$L,8,0),""))</f>
        <v/>
      </c>
      <c r="H28" s="50" t="str">
        <f>IF(A28="","",IFERROR(VLOOKUP(A28,Alunni!$E:$K,7,0),""))</f>
        <v/>
      </c>
      <c r="I28" s="50" t="str">
        <f>IF(A28="","",IF(F28&lt;=Impostazioni!$B$1,"Inviare Avviso","Sufficienti"))</f>
        <v/>
      </c>
    </row>
    <row r="29">
      <c r="A29" s="50" t="str">
        <f>IF(Alunni!E29="","",Alunni!E29)</f>
        <v/>
      </c>
      <c r="B29" s="50" t="str">
        <f t="array" ref="B29">IF(A29="","",IFERROR(VLOOKUP(A29,{Alunni!$E:$E,Alunni!$B:$B},2,0),"N/D"))</f>
        <v/>
      </c>
      <c r="C29" s="50" t="str">
        <f t="array" ref="C29">IF(A29="","",IFERROR(VLOOKUP(A29,{Alunni!$E:$E,Alunni!$C:$C},2,0),"N/D"))</f>
        <v/>
      </c>
      <c r="D29" s="50" t="str">
        <f>IF(A29="","",IFERROR(VLOOKUP(A29,Alunni!$E:$F,2,0),0))</f>
        <v/>
      </c>
      <c r="E29" s="50" t="str">
        <f>IF(A29="","",IFERROR(VLOOKUP(A29,Alunni!$E:$H,4,0),0))</f>
        <v/>
      </c>
      <c r="F29" s="50" t="str">
        <f t="shared" si="1"/>
        <v/>
      </c>
      <c r="G29" s="50" t="str">
        <f>IF(A29="","",IFERROR(VLOOKUP(A29,Alunni!$E:$L,8,0),""))</f>
        <v/>
      </c>
      <c r="H29" s="50" t="str">
        <f>IF(A29="","",IFERROR(VLOOKUP(A29,Alunni!$E:$K,7,0),""))</f>
        <v/>
      </c>
      <c r="I29" s="50" t="str">
        <f>IF(A29="","",IF(F29&lt;=Impostazioni!$B$1,"Inviare Avviso","Sufficienti"))</f>
        <v/>
      </c>
    </row>
    <row r="30">
      <c r="A30" s="50" t="str">
        <f>IF(Alunni!E30="","",Alunni!E30)</f>
        <v/>
      </c>
      <c r="B30" s="50" t="str">
        <f t="array" ref="B30">IF(A30="","",IFERROR(VLOOKUP(A30,{Alunni!$E:$E,Alunni!$B:$B},2,0),"N/D"))</f>
        <v/>
      </c>
      <c r="C30" s="50" t="str">
        <f t="array" ref="C30">IF(A30="","",IFERROR(VLOOKUP(A30,{Alunni!$E:$E,Alunni!$C:$C},2,0),"N/D"))</f>
        <v/>
      </c>
      <c r="D30" s="50" t="str">
        <f>IF(A30="","",IFERROR(VLOOKUP(A30,Alunni!$E:$F,2,0),0))</f>
        <v/>
      </c>
      <c r="E30" s="50" t="str">
        <f>IF(A30="","",IFERROR(VLOOKUP(A30,Alunni!$E:$H,4,0),0))</f>
        <v/>
      </c>
      <c r="F30" s="50" t="str">
        <f t="shared" si="1"/>
        <v/>
      </c>
      <c r="G30" s="50" t="str">
        <f>IF(A30="","",IFERROR(VLOOKUP(A30,Alunni!$E:$L,8,0),""))</f>
        <v/>
      </c>
      <c r="H30" s="50" t="str">
        <f>IF(A30="","",IFERROR(VLOOKUP(A30,Alunni!$E:$K,7,0),""))</f>
        <v/>
      </c>
      <c r="I30" s="50" t="str">
        <f>IF(A30="","",IF(F30&lt;=Impostazioni!$B$1,"Inviare Avviso","Sufficienti"))</f>
        <v/>
      </c>
    </row>
    <row r="31">
      <c r="A31" s="50" t="str">
        <f>IF(Alunni!E31="","",Alunni!E31)</f>
        <v/>
      </c>
      <c r="B31" s="50" t="str">
        <f t="array" ref="B31">IF(A31="","",IFERROR(VLOOKUP(A31,{Alunni!$E:$E,Alunni!$B:$B},2,0),"N/D"))</f>
        <v/>
      </c>
      <c r="C31" s="50" t="str">
        <f t="array" ref="C31">IF(A31="","",IFERROR(VLOOKUP(A31,{Alunni!$E:$E,Alunni!$C:$C},2,0),"N/D"))</f>
        <v/>
      </c>
      <c r="D31" s="50" t="str">
        <f>IF(A31="","",IFERROR(VLOOKUP(A31,Alunni!$E:$F,2,0),0))</f>
        <v/>
      </c>
      <c r="E31" s="50" t="str">
        <f>IF(A31="","",IFERROR(VLOOKUP(A31,Alunni!$E:$H,4,0),0))</f>
        <v/>
      </c>
      <c r="F31" s="50" t="str">
        <f t="shared" si="1"/>
        <v/>
      </c>
      <c r="G31" s="50" t="str">
        <f>IF(A31="","",IFERROR(VLOOKUP(A31,Alunni!$E:$L,8,0),""))</f>
        <v/>
      </c>
      <c r="H31" s="50" t="str">
        <f>IF(A31="","",IFERROR(VLOOKUP(A31,Alunni!$E:$K,7,0),""))</f>
        <v/>
      </c>
      <c r="I31" s="50" t="str">
        <f>IF(A31="","",IF(F31&lt;=Impostazioni!$B$1,"Inviare Avviso","Sufficienti"))</f>
        <v/>
      </c>
    </row>
    <row r="32">
      <c r="A32" s="50" t="str">
        <f>IF(Alunni!E32="","",Alunni!E32)</f>
        <v/>
      </c>
      <c r="B32" s="50" t="str">
        <f t="array" ref="B32">IF(A32="","",IFERROR(VLOOKUP(A32,{Alunni!$E:$E,Alunni!$B:$B},2,0),"N/D"))</f>
        <v/>
      </c>
      <c r="C32" s="50" t="str">
        <f t="array" ref="C32">IF(A32="","",IFERROR(VLOOKUP(A32,{Alunni!$E:$E,Alunni!$C:$C},2,0),"N/D"))</f>
        <v/>
      </c>
      <c r="D32" s="50" t="str">
        <f>IF(A32="","",IFERROR(VLOOKUP(A32,Alunni!$E:$F,2,0),0))</f>
        <v/>
      </c>
      <c r="E32" s="50" t="str">
        <f>IF(A32="","",IFERROR(VLOOKUP(A32,Alunni!$E:$H,4,0),0))</f>
        <v/>
      </c>
      <c r="F32" s="50" t="str">
        <f t="shared" si="1"/>
        <v/>
      </c>
      <c r="G32" s="50" t="str">
        <f>IF(A32="","",IFERROR(VLOOKUP(A32,Alunni!$E:$L,8,0),""))</f>
        <v/>
      </c>
      <c r="H32" s="50" t="str">
        <f>IF(A32="","",IFERROR(VLOOKUP(A32,Alunni!$E:$K,7,0),""))</f>
        <v/>
      </c>
      <c r="I32" s="50" t="str">
        <f>IF(A32="","",IF(F32&lt;=Impostazioni!$B$1,"Inviare Avviso","Sufficienti"))</f>
        <v/>
      </c>
    </row>
    <row r="33">
      <c r="A33" s="50" t="str">
        <f>IF(Alunni!E33="","",Alunni!E33)</f>
        <v/>
      </c>
      <c r="B33" s="50" t="str">
        <f t="array" ref="B33">IF(A33="","",IFERROR(VLOOKUP(A33,{Alunni!$E:$E,Alunni!$B:$B},2,0),"N/D"))</f>
        <v/>
      </c>
      <c r="C33" s="50" t="str">
        <f t="array" ref="C33">IF(A33="","",IFERROR(VLOOKUP(A33,{Alunni!$E:$E,Alunni!$C:$C},2,0),"N/D"))</f>
        <v/>
      </c>
      <c r="D33" s="50" t="str">
        <f>IF(A33="","",IFERROR(VLOOKUP(A33,Alunni!$E:$F,2,0),0))</f>
        <v/>
      </c>
      <c r="E33" s="50" t="str">
        <f>IF(A33="","",IFERROR(VLOOKUP(A33,Alunni!$E:$H,4,0),0))</f>
        <v/>
      </c>
      <c r="F33" s="50" t="str">
        <f t="shared" si="1"/>
        <v/>
      </c>
      <c r="G33" s="50" t="str">
        <f>IF(A33="","",IFERROR(VLOOKUP(A33,Alunni!$E:$L,8,0),""))</f>
        <v/>
      </c>
      <c r="H33" s="50" t="str">
        <f>IF(A33="","",IFERROR(VLOOKUP(A33,Alunni!$E:$K,7,0),""))</f>
        <v/>
      </c>
      <c r="I33" s="50" t="str">
        <f>IF(A33="","",IF(F33&lt;=Impostazioni!$B$1,"Inviare Avviso","Sufficienti"))</f>
        <v/>
      </c>
    </row>
    <row r="34">
      <c r="A34" s="50" t="str">
        <f>IF(Alunni!E34="","",Alunni!E34)</f>
        <v/>
      </c>
      <c r="B34" s="50" t="str">
        <f t="array" ref="B34">IF(A34="","",IFERROR(VLOOKUP(A34,{Alunni!$E:$E,Alunni!$B:$B},2,0),"N/D"))</f>
        <v/>
      </c>
      <c r="C34" s="50" t="str">
        <f t="array" ref="C34">IF(A34="","",IFERROR(VLOOKUP(A34,{Alunni!$E:$E,Alunni!$C:$C},2,0),"N/D"))</f>
        <v/>
      </c>
      <c r="D34" s="50" t="str">
        <f>IF(A34="","",IFERROR(VLOOKUP(A34,Alunni!$E:$F,2,0),0))</f>
        <v/>
      </c>
      <c r="E34" s="50" t="str">
        <f>IF(A34="","",IFERROR(VLOOKUP(A34,Alunni!$E:$H,4,0),0))</f>
        <v/>
      </c>
      <c r="F34" s="50" t="str">
        <f t="shared" si="1"/>
        <v/>
      </c>
      <c r="G34" s="50" t="str">
        <f>IF(A34="","",IFERROR(VLOOKUP(A34,Alunni!$E:$L,8,0),""))</f>
        <v/>
      </c>
      <c r="H34" s="50" t="str">
        <f>IF(A34="","",IFERROR(VLOOKUP(A34,Alunni!$E:$K,7,0),""))</f>
        <v/>
      </c>
      <c r="I34" s="50" t="str">
        <f>IF(A34="","",IF(F34&lt;=Impostazioni!$B$1,"Inviare Avviso","Sufficienti"))</f>
        <v/>
      </c>
    </row>
    <row r="35">
      <c r="A35" s="50" t="str">
        <f>IF(Alunni!E35="","",Alunni!E35)</f>
        <v/>
      </c>
      <c r="B35" s="50" t="str">
        <f t="array" ref="B35">IF(A35="","",IFERROR(VLOOKUP(A35,{Alunni!$E:$E,Alunni!$B:$B},2,0),"N/D"))</f>
        <v/>
      </c>
      <c r="C35" s="50" t="str">
        <f t="array" ref="C35">IF(A35="","",IFERROR(VLOOKUP(A35,{Alunni!$E:$E,Alunni!$C:$C},2,0),"N/D"))</f>
        <v/>
      </c>
      <c r="D35" s="50" t="str">
        <f>IF(A35="","",IFERROR(VLOOKUP(A35,Alunni!$E:$F,2,0),0))</f>
        <v/>
      </c>
      <c r="E35" s="50" t="str">
        <f>IF(A35="","",IFERROR(VLOOKUP(A35,Alunni!$E:$H,4,0),0))</f>
        <v/>
      </c>
      <c r="F35" s="50" t="str">
        <f t="shared" si="1"/>
        <v/>
      </c>
      <c r="G35" s="50" t="str">
        <f>IF(A35="","",IFERROR(VLOOKUP(A35,Alunni!$E:$L,8,0),""))</f>
        <v/>
      </c>
      <c r="H35" s="50" t="str">
        <f>IF(A35="","",IFERROR(VLOOKUP(A35,Alunni!$E:$K,7,0),""))</f>
        <v/>
      </c>
      <c r="I35" s="50" t="str">
        <f>IF(A35="","",IF(F35&lt;=Impostazioni!$B$1,"Inviare Avviso","Sufficienti"))</f>
        <v/>
      </c>
    </row>
    <row r="36">
      <c r="A36" s="50" t="str">
        <f>IF(Alunni!E36="","",Alunni!E36)</f>
        <v/>
      </c>
      <c r="B36" s="50" t="str">
        <f t="array" ref="B36">IF(A36="","",IFERROR(VLOOKUP(A36,{Alunni!$E:$E,Alunni!$B:$B},2,0),"N/D"))</f>
        <v/>
      </c>
      <c r="C36" s="50" t="str">
        <f t="array" ref="C36">IF(A36="","",IFERROR(VLOOKUP(A36,{Alunni!$E:$E,Alunni!$C:$C},2,0),"N/D"))</f>
        <v/>
      </c>
      <c r="D36" s="50" t="str">
        <f>IF(A36="","",IFERROR(VLOOKUP(A36,Alunni!$E:$F,2,0),0))</f>
        <v/>
      </c>
      <c r="E36" s="50" t="str">
        <f>IF(A36="","",IFERROR(VLOOKUP(A36,Alunni!$E:$H,4,0),0))</f>
        <v/>
      </c>
      <c r="F36" s="50" t="str">
        <f t="shared" si="1"/>
        <v/>
      </c>
      <c r="G36" s="50" t="str">
        <f>IF(A36="","",IFERROR(VLOOKUP(A36,Alunni!$E:$L,8,0),""))</f>
        <v/>
      </c>
      <c r="H36" s="50" t="str">
        <f>IF(A36="","",IFERROR(VLOOKUP(A36,Alunni!$E:$K,7,0),""))</f>
        <v/>
      </c>
      <c r="I36" s="50" t="str">
        <f>IF(A36="","",IF(F36&lt;=Impostazioni!$B$1,"Inviare Avviso","Sufficienti"))</f>
        <v/>
      </c>
    </row>
    <row r="37">
      <c r="A37" s="50" t="str">
        <f>IF(Alunni!E37="","",Alunni!E37)</f>
        <v/>
      </c>
      <c r="B37" s="50" t="str">
        <f t="array" ref="B37">IF(A37="","",IFERROR(VLOOKUP(A37,{Alunni!$E:$E,Alunni!$B:$B},2,0),"N/D"))</f>
        <v/>
      </c>
      <c r="C37" s="50" t="str">
        <f t="array" ref="C37">IF(A37="","",IFERROR(VLOOKUP(A37,{Alunni!$E:$E,Alunni!$C:$C},2,0),"N/D"))</f>
        <v/>
      </c>
      <c r="D37" s="50" t="str">
        <f>IF(A37="","",IFERROR(VLOOKUP(A37,Alunni!$E:$F,2,0),0))</f>
        <v/>
      </c>
      <c r="E37" s="50" t="str">
        <f>IF(A37="","",IFERROR(VLOOKUP(A37,Alunni!$E:$H,4,0),0))</f>
        <v/>
      </c>
      <c r="F37" s="50" t="str">
        <f t="shared" si="1"/>
        <v/>
      </c>
      <c r="G37" s="50" t="str">
        <f>IF(A37="","",IFERROR(VLOOKUP(A37,Alunni!$E:$L,8,0),""))</f>
        <v/>
      </c>
      <c r="H37" s="50" t="str">
        <f>IF(A37="","",IFERROR(VLOOKUP(A37,Alunni!$E:$K,7,0),""))</f>
        <v/>
      </c>
      <c r="I37" s="50" t="str">
        <f>IF(A37="","",IF(F37&lt;=Impostazioni!$B$1,"Inviare Avviso","Sufficienti"))</f>
        <v/>
      </c>
    </row>
    <row r="38">
      <c r="A38" s="50" t="str">
        <f>IF(Alunni!E38="","",Alunni!E38)</f>
        <v/>
      </c>
      <c r="B38" s="50" t="str">
        <f t="array" ref="B38">IF(A38="","",IFERROR(VLOOKUP(A38,{Alunni!$E:$E,Alunni!$B:$B},2,0),"N/D"))</f>
        <v/>
      </c>
      <c r="C38" s="50" t="str">
        <f t="array" ref="C38">IF(A38="","",IFERROR(VLOOKUP(A38,{Alunni!$E:$E,Alunni!$C:$C},2,0),"N/D"))</f>
        <v/>
      </c>
      <c r="D38" s="50" t="str">
        <f>IF(A38="","",IFERROR(VLOOKUP(A38,Alunni!$E:$F,2,0),0))</f>
        <v/>
      </c>
      <c r="E38" s="50" t="str">
        <f>IF(A38="","",IFERROR(VLOOKUP(A38,Alunni!$E:$H,4,0),0))</f>
        <v/>
      </c>
      <c r="F38" s="50" t="str">
        <f t="shared" si="1"/>
        <v/>
      </c>
      <c r="G38" s="50" t="str">
        <f>IF(A38="","",IFERROR(VLOOKUP(A38,Alunni!$E:$L,8,0),""))</f>
        <v/>
      </c>
      <c r="H38" s="50" t="str">
        <f>IF(A38="","",IFERROR(VLOOKUP(A38,Alunni!$E:$K,7,0),""))</f>
        <v/>
      </c>
      <c r="I38" s="50" t="str">
        <f>IF(A38="","",IF(F38&lt;=Impostazioni!$B$1,"Inviare Avviso","Sufficienti"))</f>
        <v/>
      </c>
    </row>
    <row r="39">
      <c r="A39" s="50" t="str">
        <f>IF(Alunni!E39="","",Alunni!E39)</f>
        <v/>
      </c>
      <c r="B39" s="50" t="str">
        <f t="array" ref="B39">IF(A39="","",IFERROR(VLOOKUP(A39,{Alunni!$E:$E,Alunni!$B:$B},2,0),"N/D"))</f>
        <v/>
      </c>
      <c r="C39" s="50" t="str">
        <f t="array" ref="C39">IF(A39="","",IFERROR(VLOOKUP(A39,{Alunni!$E:$E,Alunni!$C:$C},2,0),"N/D"))</f>
        <v/>
      </c>
      <c r="D39" s="50" t="str">
        <f>IF(A39="","",IFERROR(VLOOKUP(A39,Alunni!$E:$F,2,0),0))</f>
        <v/>
      </c>
      <c r="E39" s="50" t="str">
        <f>IF(A39="","",IFERROR(VLOOKUP(A39,Alunni!$E:$H,4,0),0))</f>
        <v/>
      </c>
      <c r="F39" s="50" t="str">
        <f t="shared" si="1"/>
        <v/>
      </c>
      <c r="G39" s="50" t="str">
        <f>IF(A39="","",IFERROR(VLOOKUP(A39,Alunni!$E:$L,8,0),""))</f>
        <v/>
      </c>
      <c r="H39" s="50" t="str">
        <f>IF(A39="","",IFERROR(VLOOKUP(A39,Alunni!$E:$K,7,0),""))</f>
        <v/>
      </c>
      <c r="I39" s="50" t="str">
        <f>IF(A39="","",IF(F39&lt;=Impostazioni!$B$1,"Inviare Avviso","Sufficienti"))</f>
        <v/>
      </c>
    </row>
    <row r="40">
      <c r="A40" s="50" t="str">
        <f>IF(Alunni!E40="","",Alunni!E40)</f>
        <v/>
      </c>
      <c r="B40" s="50" t="str">
        <f t="array" ref="B40">IF(A40="","",IFERROR(VLOOKUP(A40,{Alunni!$E:$E,Alunni!$B:$B},2,0),"N/D"))</f>
        <v/>
      </c>
      <c r="C40" s="50" t="str">
        <f t="array" ref="C40">IF(A40="","",IFERROR(VLOOKUP(A40,{Alunni!$E:$E,Alunni!$C:$C},2,0),"N/D"))</f>
        <v/>
      </c>
      <c r="D40" s="50" t="str">
        <f>IF(A40="","",IFERROR(VLOOKUP(A40,Alunni!$E:$F,2,0),0))</f>
        <v/>
      </c>
      <c r="E40" s="50" t="str">
        <f>IF(A40="","",IFERROR(VLOOKUP(A40,Alunni!$E:$H,4,0),0))</f>
        <v/>
      </c>
      <c r="F40" s="50" t="str">
        <f t="shared" si="1"/>
        <v/>
      </c>
      <c r="G40" s="50" t="str">
        <f>IF(A40="","",IFERROR(VLOOKUP(A40,Alunni!$E:$L,8,0),""))</f>
        <v/>
      </c>
      <c r="H40" s="50" t="str">
        <f>IF(A40="","",IFERROR(VLOOKUP(A40,Alunni!$E:$K,7,0),""))</f>
        <v/>
      </c>
      <c r="I40" s="50" t="str">
        <f>IF(A40="","",IF(F40&lt;=Impostazioni!$B$1,"Inviare Avviso","Sufficienti"))</f>
        <v/>
      </c>
    </row>
    <row r="41">
      <c r="A41" s="50" t="str">
        <f>IF(Alunni!E41="","",Alunni!E41)</f>
        <v/>
      </c>
      <c r="B41" s="50" t="str">
        <f t="array" ref="B41">IF(A41="","",IFERROR(VLOOKUP(A41,{Alunni!$E:$E,Alunni!$B:$B},2,0),"N/D"))</f>
        <v/>
      </c>
      <c r="C41" s="50" t="str">
        <f t="array" ref="C41">IF(A41="","",IFERROR(VLOOKUP(A41,{Alunni!$E:$E,Alunni!$C:$C},2,0),"N/D"))</f>
        <v/>
      </c>
      <c r="D41" s="50" t="str">
        <f>IF(A41="","",IFERROR(VLOOKUP(A41,Alunni!$E:$F,2,0),0))</f>
        <v/>
      </c>
      <c r="E41" s="50" t="str">
        <f>IF(A41="","",IFERROR(VLOOKUP(A41,Alunni!$E:$H,4,0),0))</f>
        <v/>
      </c>
      <c r="F41" s="50" t="str">
        <f t="shared" si="1"/>
        <v/>
      </c>
      <c r="G41" s="50" t="str">
        <f>IF(A41="","",IFERROR(VLOOKUP(A41,Alunni!$E:$L,8,0),""))</f>
        <v/>
      </c>
      <c r="H41" s="50" t="str">
        <f>IF(A41="","",IFERROR(VLOOKUP(A41,Alunni!$E:$K,7,0),""))</f>
        <v/>
      </c>
      <c r="I41" s="50" t="str">
        <f>IF(A41="","",IF(F41&lt;=Impostazioni!$B$1,"Inviare Avviso","Sufficienti"))</f>
        <v/>
      </c>
    </row>
    <row r="42">
      <c r="A42" s="50" t="str">
        <f>IF(Alunni!E42="","",Alunni!E42)</f>
        <v/>
      </c>
      <c r="B42" s="50" t="str">
        <f t="array" ref="B42">IF(A42="","",IFERROR(VLOOKUP(A42,{Alunni!$E:$E,Alunni!$B:$B},2,0),"N/D"))</f>
        <v/>
      </c>
      <c r="C42" s="50" t="str">
        <f t="array" ref="C42">IF(A42="","",IFERROR(VLOOKUP(A42,{Alunni!$E:$E,Alunni!$C:$C},2,0),"N/D"))</f>
        <v/>
      </c>
      <c r="D42" s="50" t="str">
        <f>IF(A42="","",IFERROR(VLOOKUP(A42,Alunni!$E:$F,2,0),0))</f>
        <v/>
      </c>
      <c r="E42" s="50" t="str">
        <f>IF(A42="","",IFERROR(VLOOKUP(A42,Alunni!$E:$H,4,0),0))</f>
        <v/>
      </c>
      <c r="F42" s="50" t="str">
        <f t="shared" si="1"/>
        <v/>
      </c>
      <c r="G42" s="50" t="str">
        <f>IF(A42="","",IFERROR(VLOOKUP(A42,Alunni!$E:$L,8,0),""))</f>
        <v/>
      </c>
      <c r="H42" s="50" t="str">
        <f>IF(A42="","",IFERROR(VLOOKUP(A42,Alunni!$E:$K,7,0),""))</f>
        <v/>
      </c>
      <c r="I42" s="50" t="str">
        <f>IF(A42="","",IF(F42&lt;=Impostazioni!$B$1,"Inviare Avviso","Sufficienti"))</f>
        <v/>
      </c>
    </row>
    <row r="43">
      <c r="A43" s="50" t="str">
        <f>IF(Alunni!E43="","",Alunni!E43)</f>
        <v/>
      </c>
      <c r="B43" s="50" t="str">
        <f t="array" ref="B43">IF(A43="","",IFERROR(VLOOKUP(A43,{Alunni!$E:$E,Alunni!$B:$B},2,0),"N/D"))</f>
        <v/>
      </c>
      <c r="C43" s="50" t="str">
        <f t="array" ref="C43">IF(A43="","",IFERROR(VLOOKUP(A43,{Alunni!$E:$E,Alunni!$C:$C},2,0),"N/D"))</f>
        <v/>
      </c>
      <c r="D43" s="50" t="str">
        <f>IF(A43="","",IFERROR(VLOOKUP(A43,Alunni!$E:$F,2,0),0))</f>
        <v/>
      </c>
      <c r="E43" s="50" t="str">
        <f>IF(A43="","",IFERROR(VLOOKUP(A43,Alunni!$E:$H,4,0),0))</f>
        <v/>
      </c>
      <c r="F43" s="50" t="str">
        <f t="shared" si="1"/>
        <v/>
      </c>
      <c r="G43" s="50" t="str">
        <f>IF(A43="","",IFERROR(VLOOKUP(A43,Alunni!$E:$L,8,0),""))</f>
        <v/>
      </c>
      <c r="H43" s="50" t="str">
        <f>IF(A43="","",IFERROR(VLOOKUP(A43,Alunni!$E:$K,7,0),""))</f>
        <v/>
      </c>
      <c r="I43" s="50" t="str">
        <f>IF(A43="","",IF(F43&lt;=Impostazioni!$B$1,"Inviare Avviso","Sufficienti"))</f>
        <v/>
      </c>
    </row>
    <row r="44">
      <c r="A44" s="50" t="str">
        <f>IF(Alunni!E44="","",Alunni!E44)</f>
        <v/>
      </c>
      <c r="B44" s="50" t="str">
        <f t="array" ref="B44">IF(A44="","",IFERROR(VLOOKUP(A44,{Alunni!$E:$E,Alunni!$B:$B},2,0),"N/D"))</f>
        <v/>
      </c>
      <c r="C44" s="50" t="str">
        <f t="array" ref="C44">IF(A44="","",IFERROR(VLOOKUP(A44,{Alunni!$E:$E,Alunni!$C:$C},2,0),"N/D"))</f>
        <v/>
      </c>
      <c r="D44" s="50" t="str">
        <f>IF(A44="","",IFERROR(VLOOKUP(A44,Alunni!$E:$F,2,0),0))</f>
        <v/>
      </c>
      <c r="E44" s="50" t="str">
        <f>IF(A44="","",IFERROR(VLOOKUP(A44,Alunni!$E:$H,4,0),0))</f>
        <v/>
      </c>
      <c r="F44" s="50" t="str">
        <f t="shared" si="1"/>
        <v/>
      </c>
      <c r="G44" s="50" t="str">
        <f>IF(A44="","",IFERROR(VLOOKUP(A44,Alunni!$E:$L,8,0),""))</f>
        <v/>
      </c>
      <c r="H44" s="50" t="str">
        <f>IF(A44="","",IFERROR(VLOOKUP(A44,Alunni!$E:$K,7,0),""))</f>
        <v/>
      </c>
      <c r="I44" s="50" t="str">
        <f>IF(A44="","",IF(F44&lt;=Impostazioni!$B$1,"Inviare Avviso","Sufficienti"))</f>
        <v/>
      </c>
    </row>
    <row r="45">
      <c r="A45" s="50" t="str">
        <f>IF(Alunni!E45="","",Alunni!E45)</f>
        <v/>
      </c>
      <c r="B45" s="50" t="str">
        <f t="array" ref="B45">IF(A45="","",IFERROR(VLOOKUP(A45,{Alunni!$E:$E,Alunni!$B:$B},2,0),"N/D"))</f>
        <v/>
      </c>
      <c r="C45" s="50" t="str">
        <f t="array" ref="C45">IF(A45="","",IFERROR(VLOOKUP(A45,{Alunni!$E:$E,Alunni!$C:$C},2,0),"N/D"))</f>
        <v/>
      </c>
      <c r="D45" s="50" t="str">
        <f>IF(A45="","",IFERROR(VLOOKUP(A45,Alunni!$E:$F,2,0),0))</f>
        <v/>
      </c>
      <c r="E45" s="50" t="str">
        <f>IF(A45="","",IFERROR(VLOOKUP(A45,Alunni!$E:$H,4,0),0))</f>
        <v/>
      </c>
      <c r="F45" s="50" t="str">
        <f t="shared" si="1"/>
        <v/>
      </c>
      <c r="G45" s="50" t="str">
        <f>IF(A45="","",IFERROR(VLOOKUP(A45,Alunni!$E:$L,8,0),""))</f>
        <v/>
      </c>
      <c r="H45" s="50" t="str">
        <f>IF(A45="","",IFERROR(VLOOKUP(A45,Alunni!$E:$K,7,0),""))</f>
        <v/>
      </c>
      <c r="I45" s="50" t="str">
        <f>IF(A45="","",IF(F45&lt;=Impostazioni!$B$1,"Inviare Avviso","Sufficienti"))</f>
        <v/>
      </c>
    </row>
    <row r="46">
      <c r="A46" s="50" t="str">
        <f>IF(Alunni!E46="","",Alunni!E46)</f>
        <v/>
      </c>
      <c r="B46" s="50" t="str">
        <f t="array" ref="B46">IF(A46="","",IFERROR(VLOOKUP(A46,{Alunni!$E:$E,Alunni!$B:$B},2,0),"N/D"))</f>
        <v/>
      </c>
      <c r="C46" s="50" t="str">
        <f t="array" ref="C46">IF(A46="","",IFERROR(VLOOKUP(A46,{Alunni!$E:$E,Alunni!$C:$C},2,0),"N/D"))</f>
        <v/>
      </c>
      <c r="D46" s="50" t="str">
        <f>IF(A46="","",IFERROR(VLOOKUP(A46,Alunni!$E:$F,2,0),0))</f>
        <v/>
      </c>
      <c r="E46" s="50" t="str">
        <f>IF(A46="","",IFERROR(VLOOKUP(A46,Alunni!$E:$H,4,0),0))</f>
        <v/>
      </c>
      <c r="F46" s="50" t="str">
        <f t="shared" si="1"/>
        <v/>
      </c>
      <c r="G46" s="50" t="str">
        <f>IF(A46="","",IFERROR(VLOOKUP(A46,Alunni!$E:$L,8,0),""))</f>
        <v/>
      </c>
      <c r="H46" s="50" t="str">
        <f>IF(A46="","",IFERROR(VLOOKUP(A46,Alunni!$E:$K,7,0),""))</f>
        <v/>
      </c>
      <c r="I46" s="50" t="str">
        <f>IF(A46="","",IF(F46&lt;=Impostazioni!$B$1,"Inviare Avviso","Sufficienti"))</f>
        <v/>
      </c>
    </row>
    <row r="47">
      <c r="A47" s="50" t="str">
        <f>IF(Alunni!E47="","",Alunni!E47)</f>
        <v/>
      </c>
      <c r="B47" s="50" t="str">
        <f t="array" ref="B47">IF(A47="","",IFERROR(VLOOKUP(A47,{Alunni!$E:$E,Alunni!$B:$B},2,0),"N/D"))</f>
        <v/>
      </c>
      <c r="C47" s="50" t="str">
        <f t="array" ref="C47">IF(A47="","",IFERROR(VLOOKUP(A47,{Alunni!$E:$E,Alunni!$C:$C},2,0),"N/D"))</f>
        <v/>
      </c>
      <c r="D47" s="50" t="str">
        <f>IF(A47="","",IFERROR(VLOOKUP(A47,Alunni!$E:$F,2,0),0))</f>
        <v/>
      </c>
      <c r="E47" s="50" t="str">
        <f>IF(A47="","",IFERROR(VLOOKUP(A47,Alunni!$E:$H,4,0),0))</f>
        <v/>
      </c>
      <c r="F47" s="50" t="str">
        <f t="shared" si="1"/>
        <v/>
      </c>
      <c r="G47" s="50" t="str">
        <f>IF(A47="","",IFERROR(VLOOKUP(A47,Alunni!$E:$L,8,0),""))</f>
        <v/>
      </c>
      <c r="H47" s="50" t="str">
        <f>IF(A47="","",IFERROR(VLOOKUP(A47,Alunni!$E:$K,7,0),""))</f>
        <v/>
      </c>
      <c r="I47" s="50" t="str">
        <f>IF(A47="","",IF(F47&lt;=Impostazioni!$B$1,"Inviare Avviso","Sufficienti"))</f>
        <v/>
      </c>
    </row>
    <row r="48">
      <c r="A48" s="50" t="str">
        <f>IF(Alunni!E48="","",Alunni!E48)</f>
        <v/>
      </c>
      <c r="B48" s="50" t="str">
        <f t="array" ref="B48">IF(A48="","",IFERROR(VLOOKUP(A48,{Alunni!$E:$E,Alunni!$B:$B},2,0),"N/D"))</f>
        <v/>
      </c>
      <c r="C48" s="50" t="str">
        <f t="array" ref="C48">IF(A48="","",IFERROR(VLOOKUP(A48,{Alunni!$E:$E,Alunni!$C:$C},2,0),"N/D"))</f>
        <v/>
      </c>
      <c r="D48" s="50" t="str">
        <f>IF(A48="","",IFERROR(VLOOKUP(A48,Alunni!$E:$F,2,0),0))</f>
        <v/>
      </c>
      <c r="E48" s="50" t="str">
        <f>IF(A48="","",IFERROR(VLOOKUP(A48,Alunni!$E:$H,4,0),0))</f>
        <v/>
      </c>
      <c r="F48" s="50" t="str">
        <f t="shared" si="1"/>
        <v/>
      </c>
      <c r="G48" s="50" t="str">
        <f>IF(A48="","",IFERROR(VLOOKUP(A48,Alunni!$E:$L,8,0),""))</f>
        <v/>
      </c>
      <c r="H48" s="50" t="str">
        <f>IF(A48="","",IFERROR(VLOOKUP(A48,Alunni!$E:$K,7,0),""))</f>
        <v/>
      </c>
      <c r="I48" s="50" t="str">
        <f>IF(A48="","",IF(F48&lt;=Impostazioni!$B$1,"Inviare Avviso","Sufficienti"))</f>
        <v/>
      </c>
    </row>
    <row r="49">
      <c r="A49" s="50" t="str">
        <f>IF(Alunni!E49="","",Alunni!E49)</f>
        <v/>
      </c>
      <c r="B49" s="50" t="str">
        <f t="array" ref="B49">IF(A49="","",IFERROR(VLOOKUP(A49,{Alunni!$E:$E,Alunni!$B:$B},2,0),"N/D"))</f>
        <v/>
      </c>
      <c r="C49" s="50" t="str">
        <f t="array" ref="C49">IF(A49="","",IFERROR(VLOOKUP(A49,{Alunni!$E:$E,Alunni!$C:$C},2,0),"N/D"))</f>
        <v/>
      </c>
      <c r="D49" s="50" t="str">
        <f>IF(A49="","",IFERROR(VLOOKUP(A49,Alunni!$E:$F,2,0),0))</f>
        <v/>
      </c>
      <c r="E49" s="50" t="str">
        <f>IF(A49="","",IFERROR(VLOOKUP(A49,Alunni!$E:$H,4,0),0))</f>
        <v/>
      </c>
      <c r="F49" s="50" t="str">
        <f t="shared" si="1"/>
        <v/>
      </c>
      <c r="G49" s="50" t="str">
        <f>IF(A49="","",IFERROR(VLOOKUP(A49,Alunni!$E:$L,8,0),""))</f>
        <v/>
      </c>
      <c r="H49" s="50" t="str">
        <f>IF(A49="","",IFERROR(VLOOKUP(A49,Alunni!$E:$K,7,0),""))</f>
        <v/>
      </c>
      <c r="I49" s="50" t="str">
        <f>IF(A49="","",IF(F49&lt;=Impostazioni!$B$1,"Inviare Avviso","Sufficienti"))</f>
        <v/>
      </c>
    </row>
    <row r="50">
      <c r="A50" s="50" t="str">
        <f>IF(Alunni!E50="","",Alunni!E50)</f>
        <v/>
      </c>
      <c r="B50" s="50" t="str">
        <f t="array" ref="B50">IF(A50="","",IFERROR(VLOOKUP(A50,{Alunni!$E:$E,Alunni!$B:$B},2,0),"N/D"))</f>
        <v/>
      </c>
      <c r="C50" s="50" t="str">
        <f t="array" ref="C50">IF(A50="","",IFERROR(VLOOKUP(A50,{Alunni!$E:$E,Alunni!$C:$C},2,0),"N/D"))</f>
        <v/>
      </c>
      <c r="D50" s="50" t="str">
        <f>IF(A50="","",IFERROR(VLOOKUP(A50,Alunni!$E:$F,2,0),0))</f>
        <v/>
      </c>
      <c r="E50" s="50" t="str">
        <f>IF(A50="","",IFERROR(VLOOKUP(A50,Alunni!$E:$H,4,0),0))</f>
        <v/>
      </c>
      <c r="F50" s="50" t="str">
        <f t="shared" si="1"/>
        <v/>
      </c>
      <c r="G50" s="50" t="str">
        <f>IF(A50="","",IFERROR(VLOOKUP(A50,Alunni!$E:$L,8,0),""))</f>
        <v/>
      </c>
      <c r="H50" s="50" t="str">
        <f>IF(A50="","",IFERROR(VLOOKUP(A50,Alunni!$E:$K,7,0),""))</f>
        <v/>
      </c>
      <c r="I50" s="50" t="str">
        <f>IF(A50="","",IF(F50&lt;=Impostazioni!$B$1,"Inviare Avviso","Sufficienti"))</f>
        <v/>
      </c>
    </row>
    <row r="51">
      <c r="A51" s="50"/>
      <c r="B51" s="50"/>
      <c r="C51" s="50"/>
      <c r="D51" s="50"/>
      <c r="E51" s="50"/>
      <c r="F51" s="50"/>
      <c r="G51" s="50"/>
      <c r="H51" s="50"/>
      <c r="I51" s="50"/>
    </row>
    <row r="52">
      <c r="A52" s="50"/>
      <c r="B52" s="50"/>
      <c r="C52" s="50"/>
      <c r="D52" s="50"/>
      <c r="E52" s="50"/>
      <c r="F52" s="50"/>
      <c r="G52" s="50"/>
      <c r="H52" s="50"/>
      <c r="I52" s="50"/>
    </row>
    <row r="53">
      <c r="A53" s="50"/>
      <c r="B53" s="50"/>
      <c r="C53" s="50"/>
      <c r="D53" s="50"/>
      <c r="E53" s="50"/>
      <c r="F53" s="50"/>
      <c r="G53" s="50"/>
      <c r="H53" s="50"/>
      <c r="I53" s="50"/>
    </row>
    <row r="54">
      <c r="A54" s="50"/>
      <c r="B54" s="50"/>
      <c r="C54" s="50"/>
      <c r="D54" s="50"/>
      <c r="E54" s="50"/>
      <c r="F54" s="50"/>
      <c r="G54" s="50"/>
      <c r="H54" s="50"/>
      <c r="I54" s="50"/>
    </row>
    <row r="55">
      <c r="A55" s="50"/>
      <c r="B55" s="50"/>
      <c r="C55" s="50"/>
      <c r="D55" s="50"/>
      <c r="E55" s="50"/>
      <c r="F55" s="50"/>
      <c r="G55" s="50"/>
      <c r="H55" s="50"/>
      <c r="I55" s="50"/>
    </row>
    <row r="56">
      <c r="A56" s="50"/>
      <c r="B56" s="50"/>
      <c r="C56" s="50"/>
      <c r="D56" s="50"/>
      <c r="E56" s="50"/>
      <c r="F56" s="50"/>
      <c r="G56" s="50"/>
      <c r="H56" s="50"/>
      <c r="I56" s="50"/>
    </row>
    <row r="57">
      <c r="A57" s="50"/>
      <c r="B57" s="50"/>
      <c r="C57" s="50"/>
      <c r="D57" s="50"/>
      <c r="E57" s="50"/>
      <c r="F57" s="50"/>
      <c r="G57" s="50"/>
      <c r="H57" s="50"/>
      <c r="I57" s="50"/>
    </row>
    <row r="58">
      <c r="A58" s="50"/>
      <c r="B58" s="50"/>
      <c r="C58" s="50"/>
      <c r="D58" s="50"/>
      <c r="E58" s="50"/>
      <c r="F58" s="50"/>
      <c r="G58" s="50"/>
      <c r="H58" s="50"/>
      <c r="I58" s="50"/>
    </row>
    <row r="59">
      <c r="A59" s="50"/>
      <c r="B59" s="50"/>
      <c r="C59" s="50"/>
      <c r="D59" s="50"/>
      <c r="E59" s="50"/>
      <c r="F59" s="50"/>
      <c r="G59" s="50"/>
      <c r="H59" s="50"/>
      <c r="I59" s="50"/>
    </row>
    <row r="60">
      <c r="A60" s="50"/>
      <c r="B60" s="50"/>
      <c r="C60" s="50"/>
      <c r="D60" s="50"/>
      <c r="E60" s="50"/>
      <c r="F60" s="50"/>
      <c r="G60" s="50"/>
      <c r="H60" s="50"/>
      <c r="I60" s="50"/>
    </row>
    <row r="61">
      <c r="A61" s="50"/>
      <c r="B61" s="50"/>
      <c r="C61" s="50"/>
      <c r="D61" s="50"/>
      <c r="E61" s="50"/>
      <c r="F61" s="50"/>
      <c r="G61" s="50"/>
      <c r="H61" s="50"/>
      <c r="I61" s="50"/>
    </row>
    <row r="62">
      <c r="A62" s="50"/>
      <c r="B62" s="50"/>
      <c r="C62" s="50"/>
      <c r="D62" s="50"/>
      <c r="E62" s="50"/>
      <c r="F62" s="50"/>
      <c r="G62" s="50"/>
      <c r="H62" s="50"/>
      <c r="I62" s="50"/>
    </row>
    <row r="63">
      <c r="A63" s="50"/>
      <c r="B63" s="50"/>
      <c r="C63" s="50"/>
      <c r="D63" s="50"/>
      <c r="E63" s="50"/>
      <c r="F63" s="50"/>
      <c r="G63" s="50"/>
      <c r="H63" s="50"/>
      <c r="I63" s="50"/>
    </row>
    <row r="64">
      <c r="A64" s="50"/>
      <c r="B64" s="50"/>
      <c r="C64" s="50"/>
      <c r="D64" s="50"/>
      <c r="E64" s="50"/>
      <c r="F64" s="50"/>
      <c r="G64" s="50"/>
      <c r="H64" s="50"/>
      <c r="I64" s="50"/>
    </row>
    <row r="65">
      <c r="A65" s="50"/>
      <c r="B65" s="50"/>
      <c r="C65" s="50"/>
      <c r="D65" s="50"/>
      <c r="E65" s="50"/>
      <c r="F65" s="50"/>
      <c r="G65" s="50"/>
      <c r="H65" s="50"/>
      <c r="I65" s="50"/>
    </row>
    <row r="66">
      <c r="A66" s="50"/>
      <c r="B66" s="50"/>
      <c r="C66" s="50"/>
      <c r="D66" s="50"/>
      <c r="E66" s="50"/>
      <c r="F66" s="50"/>
      <c r="G66" s="50"/>
      <c r="H66" s="50"/>
      <c r="I66" s="50"/>
    </row>
    <row r="67">
      <c r="A67" s="50"/>
      <c r="B67" s="50"/>
      <c r="C67" s="50"/>
      <c r="D67" s="50"/>
      <c r="E67" s="50"/>
      <c r="F67" s="50"/>
      <c r="G67" s="50"/>
      <c r="H67" s="50"/>
      <c r="I67" s="50"/>
    </row>
    <row r="68">
      <c r="A68" s="50"/>
      <c r="B68" s="50"/>
      <c r="C68" s="50"/>
      <c r="D68" s="50"/>
      <c r="E68" s="50"/>
      <c r="F68" s="50"/>
      <c r="G68" s="50"/>
      <c r="H68" s="50"/>
      <c r="I68" s="50"/>
    </row>
    <row r="69">
      <c r="A69" s="50"/>
      <c r="B69" s="50"/>
      <c r="C69" s="50"/>
      <c r="D69" s="50"/>
      <c r="E69" s="50"/>
      <c r="F69" s="50"/>
      <c r="G69" s="50"/>
      <c r="H69" s="50"/>
      <c r="I69" s="50"/>
    </row>
    <row r="70">
      <c r="A70" s="50"/>
      <c r="B70" s="50"/>
      <c r="C70" s="50"/>
      <c r="D70" s="50"/>
      <c r="E70" s="50"/>
      <c r="F70" s="50"/>
      <c r="G70" s="50"/>
      <c r="H70" s="50"/>
      <c r="I70" s="50"/>
    </row>
    <row r="71">
      <c r="A71" s="50"/>
      <c r="B71" s="50"/>
      <c r="C71" s="50"/>
      <c r="D71" s="50"/>
      <c r="E71" s="50"/>
      <c r="F71" s="50"/>
      <c r="G71" s="50"/>
      <c r="H71" s="50"/>
      <c r="I71" s="50"/>
    </row>
    <row r="72">
      <c r="A72" s="50"/>
      <c r="B72" s="50"/>
      <c r="C72" s="50"/>
      <c r="D72" s="50"/>
      <c r="E72" s="50"/>
      <c r="F72" s="50"/>
      <c r="G72" s="50"/>
      <c r="H72" s="50"/>
      <c r="I72" s="50"/>
    </row>
    <row r="73">
      <c r="A73" s="50"/>
      <c r="B73" s="50"/>
      <c r="C73" s="50"/>
      <c r="D73" s="50"/>
      <c r="E73" s="50"/>
      <c r="F73" s="50"/>
      <c r="G73" s="50"/>
      <c r="H73" s="50"/>
      <c r="I73" s="50"/>
    </row>
    <row r="74">
      <c r="A74" s="50"/>
      <c r="B74" s="50"/>
      <c r="C74" s="50"/>
      <c r="D74" s="50"/>
      <c r="E74" s="50"/>
      <c r="F74" s="50"/>
      <c r="G74" s="50"/>
      <c r="H74" s="50"/>
      <c r="I74" s="50"/>
    </row>
    <row r="75">
      <c r="A75" s="50"/>
      <c r="B75" s="50"/>
      <c r="C75" s="50"/>
      <c r="D75" s="50"/>
      <c r="E75" s="50"/>
      <c r="F75" s="50"/>
      <c r="G75" s="50"/>
      <c r="H75" s="50"/>
      <c r="I75" s="50"/>
    </row>
    <row r="76">
      <c r="A76" s="50"/>
      <c r="B76" s="50"/>
      <c r="C76" s="50"/>
      <c r="D76" s="50"/>
      <c r="E76" s="50"/>
      <c r="F76" s="50"/>
      <c r="G76" s="50"/>
      <c r="H76" s="50"/>
      <c r="I76" s="50"/>
    </row>
    <row r="77">
      <c r="A77" s="50"/>
      <c r="B77" s="50"/>
      <c r="C77" s="50"/>
      <c r="D77" s="50"/>
      <c r="E77" s="50"/>
      <c r="F77" s="50"/>
      <c r="G77" s="50"/>
      <c r="H77" s="50"/>
      <c r="I77" s="50"/>
    </row>
    <row r="78">
      <c r="A78" s="50"/>
      <c r="B78" s="50"/>
      <c r="C78" s="50"/>
      <c r="D78" s="50"/>
      <c r="E78" s="50"/>
      <c r="F78" s="50"/>
      <c r="G78" s="50"/>
      <c r="H78" s="50"/>
      <c r="I78" s="50"/>
    </row>
    <row r="79">
      <c r="A79" s="50"/>
      <c r="B79" s="50"/>
      <c r="C79" s="50"/>
      <c r="D79" s="50"/>
      <c r="E79" s="50"/>
      <c r="F79" s="50"/>
      <c r="G79" s="50"/>
      <c r="H79" s="50"/>
      <c r="I79" s="50"/>
    </row>
    <row r="80">
      <c r="A80" s="50"/>
      <c r="B80" s="50"/>
      <c r="C80" s="50"/>
      <c r="D80" s="50"/>
      <c r="E80" s="50"/>
      <c r="F80" s="50"/>
      <c r="G80" s="50"/>
      <c r="H80" s="50"/>
      <c r="I80" s="50"/>
    </row>
    <row r="81">
      <c r="A81" s="50"/>
      <c r="B81" s="50"/>
      <c r="C81" s="50"/>
      <c r="D81" s="50"/>
      <c r="E81" s="50"/>
      <c r="F81" s="50"/>
      <c r="G81" s="50"/>
      <c r="H81" s="50"/>
      <c r="I81" s="50"/>
    </row>
    <row r="82">
      <c r="A82" s="50"/>
      <c r="B82" s="50"/>
      <c r="C82" s="50"/>
      <c r="D82" s="50"/>
      <c r="E82" s="50"/>
      <c r="F82" s="50"/>
      <c r="G82" s="50"/>
      <c r="H82" s="50"/>
      <c r="I82" s="50"/>
    </row>
    <row r="83">
      <c r="A83" s="50"/>
      <c r="B83" s="50"/>
      <c r="C83" s="50"/>
      <c r="D83" s="50"/>
      <c r="E83" s="50"/>
      <c r="F83" s="50"/>
      <c r="G83" s="50"/>
      <c r="H83" s="50"/>
      <c r="I83" s="50"/>
    </row>
    <row r="84">
      <c r="A84" s="50"/>
      <c r="B84" s="50"/>
      <c r="C84" s="50"/>
      <c r="D84" s="50"/>
      <c r="E84" s="50"/>
      <c r="F84" s="50"/>
      <c r="G84" s="50"/>
      <c r="H84" s="50"/>
      <c r="I84" s="50"/>
    </row>
    <row r="85">
      <c r="A85" s="50"/>
      <c r="B85" s="50"/>
      <c r="C85" s="50"/>
      <c r="D85" s="50"/>
      <c r="E85" s="50"/>
      <c r="F85" s="50"/>
      <c r="G85" s="50"/>
      <c r="H85" s="50"/>
      <c r="I85" s="50"/>
    </row>
    <row r="86">
      <c r="A86" s="50"/>
      <c r="B86" s="50"/>
      <c r="C86" s="50"/>
      <c r="D86" s="50"/>
      <c r="E86" s="50"/>
      <c r="F86" s="50"/>
      <c r="G86" s="50"/>
      <c r="H86" s="50"/>
      <c r="I86" s="50"/>
    </row>
    <row r="87">
      <c r="A87" s="50"/>
      <c r="B87" s="50"/>
      <c r="C87" s="50"/>
      <c r="D87" s="50"/>
      <c r="E87" s="50"/>
      <c r="F87" s="50"/>
      <c r="G87" s="50"/>
      <c r="H87" s="50"/>
      <c r="I87" s="50"/>
    </row>
    <row r="88">
      <c r="A88" s="50"/>
      <c r="B88" s="50"/>
      <c r="C88" s="50"/>
      <c r="D88" s="50"/>
      <c r="E88" s="50"/>
      <c r="F88" s="50"/>
      <c r="G88" s="50"/>
      <c r="H88" s="50"/>
      <c r="I88" s="50"/>
    </row>
    <row r="89">
      <c r="A89" s="50"/>
      <c r="B89" s="50"/>
      <c r="C89" s="50"/>
      <c r="D89" s="50"/>
      <c r="E89" s="50"/>
      <c r="F89" s="50"/>
      <c r="G89" s="50"/>
      <c r="H89" s="50"/>
      <c r="I89" s="50"/>
    </row>
    <row r="90">
      <c r="A90" s="50"/>
      <c r="B90" s="50"/>
      <c r="C90" s="50"/>
      <c r="D90" s="50"/>
      <c r="E90" s="50"/>
      <c r="F90" s="50"/>
      <c r="G90" s="50"/>
      <c r="H90" s="50"/>
      <c r="I90" s="50"/>
    </row>
    <row r="91">
      <c r="A91" s="50"/>
      <c r="B91" s="50"/>
      <c r="C91" s="50"/>
      <c r="D91" s="50"/>
      <c r="E91" s="50"/>
      <c r="F91" s="50"/>
      <c r="G91" s="50"/>
      <c r="H91" s="50"/>
      <c r="I91" s="50"/>
    </row>
    <row r="92">
      <c r="A92" s="50"/>
      <c r="B92" s="50"/>
      <c r="C92" s="50"/>
      <c r="D92" s="50"/>
      <c r="E92" s="50"/>
      <c r="F92" s="50"/>
      <c r="G92" s="50"/>
      <c r="H92" s="50"/>
      <c r="I92" s="50"/>
    </row>
    <row r="93">
      <c r="A93" s="50"/>
      <c r="B93" s="50"/>
      <c r="C93" s="50"/>
      <c r="D93" s="50"/>
      <c r="E93" s="50"/>
      <c r="F93" s="50"/>
      <c r="G93" s="50"/>
      <c r="H93" s="50"/>
      <c r="I93" s="50"/>
    </row>
    <row r="94">
      <c r="A94" s="50"/>
      <c r="B94" s="50"/>
      <c r="C94" s="50"/>
      <c r="D94" s="50"/>
      <c r="E94" s="50"/>
      <c r="F94" s="50"/>
      <c r="G94" s="50"/>
      <c r="H94" s="50"/>
      <c r="I94" s="50"/>
    </row>
    <row r="95">
      <c r="A95" s="50"/>
      <c r="B95" s="50"/>
      <c r="C95" s="50"/>
      <c r="D95" s="50"/>
      <c r="E95" s="50"/>
      <c r="F95" s="50"/>
      <c r="G95" s="50"/>
      <c r="H95" s="50"/>
      <c r="I95" s="50"/>
    </row>
    <row r="96">
      <c r="A96" s="50"/>
      <c r="B96" s="50"/>
      <c r="C96" s="50"/>
      <c r="D96" s="50"/>
      <c r="E96" s="50"/>
      <c r="F96" s="50"/>
      <c r="G96" s="50"/>
      <c r="H96" s="50"/>
      <c r="I96" s="50"/>
    </row>
    <row r="97">
      <c r="A97" s="50"/>
      <c r="B97" s="50"/>
      <c r="C97" s="50"/>
      <c r="D97" s="50"/>
      <c r="E97" s="50"/>
      <c r="F97" s="50"/>
      <c r="G97" s="50"/>
      <c r="H97" s="50"/>
      <c r="I97" s="50"/>
    </row>
    <row r="98">
      <c r="A98" s="50"/>
      <c r="B98" s="50"/>
      <c r="C98" s="50"/>
      <c r="D98" s="50"/>
      <c r="E98" s="50"/>
      <c r="F98" s="50"/>
      <c r="G98" s="50"/>
      <c r="H98" s="50"/>
      <c r="I98" s="50"/>
    </row>
    <row r="99">
      <c r="A99" s="50"/>
      <c r="B99" s="50"/>
      <c r="C99" s="50"/>
      <c r="D99" s="50"/>
      <c r="E99" s="50"/>
      <c r="F99" s="50"/>
      <c r="G99" s="50"/>
      <c r="H99" s="50"/>
      <c r="I99" s="50"/>
    </row>
    <row r="100">
      <c r="A100" s="50"/>
      <c r="B100" s="50"/>
      <c r="C100" s="50"/>
      <c r="D100" s="50"/>
      <c r="E100" s="50"/>
      <c r="F100" s="50"/>
      <c r="G100" s="50"/>
      <c r="H100" s="50"/>
      <c r="I100" s="50"/>
    </row>
  </sheetData>
  <conditionalFormatting sqref="G2:G100">
    <cfRule type="containsText" dxfId="8" priority="1" stopIfTrue="1" operator="containsText" text="Inviato">
      <formula>NOT(ISERROR(SEARCH(("Inviato"),(G2))))</formula>
    </cfRule>
  </conditionalFormatting>
  <conditionalFormatting sqref="F2:F100">
    <cfRule type="expression" dxfId="4" priority="2" stopIfTrue="1">
      <formula>AND(ISNUMBER(F2),F2&lt;=0)</formula>
    </cfRule>
  </conditionalFormatting>
  <conditionalFormatting sqref="F2:F100">
    <cfRule type="expression" dxfId="5" priority="3" stopIfTrue="1">
      <formula>AND(ISNUMBER(F2),F2&lt;=5,F2&gt;0)</formula>
    </cfRule>
  </conditionalFormatting>
  <conditionalFormatting sqref="F2:F100">
    <cfRule type="expression" dxfId="6" priority="4" stopIfTrue="1">
      <formula>AND(ISNUMBER(F2),F2&gt;5)</formula>
    </cfRule>
  </conditionalFormatting>
  <conditionalFormatting sqref="I2:I100">
    <cfRule type="containsText" dxfId="8" priority="5" stopIfTrue="1" operator="containsText" text="Inviato">
      <formula>NOT(ISERROR(SEARCH(("Inviato"),(I2))))</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0C23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8.0"/>
    <col customWidth="1" min="3" max="3" width="7.63"/>
    <col customWidth="1" min="4" max="4" width="5.88"/>
    <col customWidth="1" min="5" max="5" width="8.0"/>
    <col customWidth="1" min="6" max="6" width="11.5"/>
    <col customWidth="1" min="7" max="7" width="66.88"/>
    <col customWidth="1" min="8" max="8" width="15.38"/>
  </cols>
  <sheetData>
    <row r="1" ht="30.0" customHeight="1">
      <c r="A1" s="15" t="s">
        <v>11</v>
      </c>
      <c r="B1" s="15" t="s">
        <v>19</v>
      </c>
      <c r="C1" s="15" t="s">
        <v>20</v>
      </c>
      <c r="D1" s="15" t="s">
        <v>7</v>
      </c>
      <c r="E1" s="15" t="s">
        <v>8</v>
      </c>
      <c r="F1" s="15" t="s">
        <v>21</v>
      </c>
      <c r="G1" s="15" t="s">
        <v>22</v>
      </c>
      <c r="H1" s="15" t="s">
        <v>24</v>
      </c>
    </row>
    <row r="2">
      <c r="A2" s="19">
        <v>46266.0</v>
      </c>
      <c r="B2" s="24">
        <v>6524939.0</v>
      </c>
      <c r="C2" s="27">
        <v>30.0</v>
      </c>
      <c r="D2" s="50" t="str">
        <f t="array" ref="D2">IFERROR(VLOOKUP(B2,{Alunni!$E:$E,Alunni!$B:$B},2,0),"")</f>
        <v>Mario</v>
      </c>
      <c r="E2" s="50" t="str">
        <f t="array" ref="E2">IFERROR(VLOOKUP(B2,{Alunni!$E:$E,Alunni!$C:$C},2,0),"")</f>
        <v>Rossi</v>
      </c>
      <c r="F2" s="24" t="s">
        <v>41</v>
      </c>
      <c r="G2" s="59" t="s">
        <v>39</v>
      </c>
      <c r="H2" s="24" t="s">
        <v>43</v>
      </c>
    </row>
    <row r="3">
      <c r="A3" s="19">
        <v>46266.0</v>
      </c>
      <c r="B3" s="24">
        <v>3848055.0</v>
      </c>
      <c r="C3" s="27">
        <v>59.0</v>
      </c>
      <c r="D3" s="50" t="str">
        <f t="array" ref="D3">IFERROR(VLOOKUP(B3,{Alunni!$E:$E,Alunni!$B:$B},2,0),"")</f>
        <v>Bianca</v>
      </c>
      <c r="E3" s="50" t="str">
        <f t="array" ref="E3">IFERROR(VLOOKUP(B3,{Alunni!$E:$E,Alunni!$C:$C},2,0),"")</f>
        <v>Bianchi</v>
      </c>
      <c r="F3" s="24" t="s">
        <v>50</v>
      </c>
      <c r="G3" s="50"/>
      <c r="H3" s="24" t="s">
        <v>43</v>
      </c>
    </row>
    <row r="4">
      <c r="A4" s="19">
        <v>46267.0</v>
      </c>
      <c r="B4" s="24">
        <v>5969695.0</v>
      </c>
      <c r="C4" s="27">
        <v>80.0</v>
      </c>
      <c r="D4" s="50" t="str">
        <f t="array" ref="D4">IFERROR(VLOOKUP(B4,{Alunni!$E:$E,Alunni!$B:$B},2,0),"")</f>
        <v>Ciccio</v>
      </c>
      <c r="E4" s="50" t="str">
        <f t="array" ref="E4">IFERROR(VLOOKUP(B4,{Alunni!$E:$E,Alunni!$C:$C},2,0),"")</f>
        <v>Pasticcio</v>
      </c>
      <c r="F4" s="24" t="s">
        <v>56</v>
      </c>
      <c r="G4" s="50"/>
      <c r="H4" s="24" t="s">
        <v>43</v>
      </c>
    </row>
    <row r="5">
      <c r="A5" s="19"/>
      <c r="B5" s="24">
        <v>1654165.0</v>
      </c>
      <c r="C5" s="27">
        <v>10.0</v>
      </c>
      <c r="D5" s="50" t="str">
        <f t="array" ref="D5">IFERROR(VLOOKUP(B5,{Alunni!$E:$E,Alunni!$B:$B},2,0),"")</f>
        <v>Pinco</v>
      </c>
      <c r="E5" s="50" t="str">
        <f t="array" ref="E5">IFERROR(VLOOKUP(B5,{Alunni!$E:$E,Alunni!$C:$C},2,0),"")</f>
        <v>Pallo</v>
      </c>
      <c r="F5" s="24" t="s">
        <v>59</v>
      </c>
      <c r="G5" s="50"/>
      <c r="H5" s="24" t="s">
        <v>43</v>
      </c>
    </row>
    <row r="6">
      <c r="A6" s="67">
        <v>46276.36425373843</v>
      </c>
      <c r="B6" s="69">
        <v>6524940.0</v>
      </c>
      <c r="C6" s="27">
        <v>10.0</v>
      </c>
      <c r="D6" s="24" t="s">
        <v>51</v>
      </c>
      <c r="E6" s="24" t="s">
        <v>52</v>
      </c>
      <c r="F6" s="24" t="s">
        <v>58</v>
      </c>
      <c r="G6" s="24" t="s">
        <v>60</v>
      </c>
      <c r="H6" s="24" t="s">
        <v>61</v>
      </c>
    </row>
    <row r="7">
      <c r="A7" s="70"/>
      <c r="B7" s="50"/>
      <c r="C7" s="72"/>
      <c r="D7" s="50"/>
      <c r="E7" s="50"/>
      <c r="F7" s="50"/>
      <c r="G7" s="50"/>
      <c r="H7" s="50"/>
    </row>
    <row r="8">
      <c r="A8" s="70"/>
      <c r="B8" s="50"/>
      <c r="C8" s="72"/>
      <c r="D8" s="50"/>
      <c r="E8" s="50"/>
      <c r="F8" s="50"/>
      <c r="G8" s="50"/>
      <c r="H8" s="50"/>
    </row>
    <row r="9">
      <c r="A9" s="70"/>
      <c r="B9" s="50"/>
      <c r="C9" s="72"/>
      <c r="D9" s="50"/>
      <c r="E9" s="50"/>
      <c r="F9" s="50"/>
      <c r="G9" s="50"/>
      <c r="H9" s="50"/>
    </row>
    <row r="10">
      <c r="A10" s="70"/>
      <c r="B10" s="50"/>
      <c r="C10" s="72"/>
      <c r="D10" s="50"/>
      <c r="E10" s="50"/>
      <c r="F10" s="50"/>
      <c r="G10" s="50"/>
      <c r="H10" s="50"/>
    </row>
    <row r="11">
      <c r="A11" s="70"/>
      <c r="B11" s="50"/>
      <c r="C11" s="72"/>
      <c r="D11" s="50"/>
      <c r="E11" s="50"/>
      <c r="F11" s="50"/>
      <c r="G11" s="50"/>
      <c r="H11" s="50"/>
    </row>
    <row r="12">
      <c r="A12" s="70"/>
      <c r="B12" s="50"/>
      <c r="C12" s="72"/>
      <c r="D12" s="50"/>
      <c r="E12" s="50"/>
      <c r="F12" s="50"/>
      <c r="G12" s="50"/>
      <c r="H12" s="50"/>
    </row>
    <row r="13">
      <c r="A13" s="70"/>
      <c r="B13" s="50"/>
      <c r="C13" s="72"/>
      <c r="D13" s="50"/>
      <c r="E13" s="50"/>
      <c r="F13" s="50"/>
      <c r="G13" s="50"/>
      <c r="H13" s="50"/>
    </row>
    <row r="14">
      <c r="A14" s="70"/>
      <c r="B14" s="50"/>
      <c r="C14" s="72"/>
      <c r="D14" s="50"/>
      <c r="E14" s="50"/>
      <c r="F14" s="50"/>
      <c r="G14" s="50"/>
      <c r="H14" s="50"/>
    </row>
    <row r="15">
      <c r="A15" s="70"/>
      <c r="B15" s="50"/>
      <c r="C15" s="72"/>
      <c r="D15" s="50"/>
      <c r="E15" s="50"/>
      <c r="F15" s="50"/>
      <c r="G15" s="50"/>
      <c r="H15" s="50"/>
    </row>
    <row r="16">
      <c r="A16" s="70"/>
      <c r="B16" s="50"/>
      <c r="C16" s="72"/>
      <c r="D16" s="50"/>
      <c r="E16" s="50"/>
      <c r="F16" s="50"/>
      <c r="G16" s="50"/>
      <c r="H16" s="50"/>
    </row>
    <row r="17">
      <c r="A17" s="70"/>
      <c r="B17" s="50"/>
      <c r="C17" s="72"/>
      <c r="D17" s="50"/>
      <c r="E17" s="50"/>
      <c r="F17" s="50"/>
      <c r="G17" s="50"/>
      <c r="H17" s="50"/>
    </row>
    <row r="18">
      <c r="A18" s="70"/>
      <c r="B18" s="50"/>
      <c r="C18" s="72"/>
      <c r="D18" s="50"/>
      <c r="E18" s="50"/>
      <c r="F18" s="50"/>
      <c r="G18" s="50"/>
      <c r="H18" s="50"/>
    </row>
    <row r="19">
      <c r="A19" s="70"/>
      <c r="B19" s="50"/>
      <c r="C19" s="72"/>
      <c r="D19" s="50"/>
      <c r="E19" s="50"/>
      <c r="F19" s="50"/>
      <c r="G19" s="50"/>
      <c r="H19" s="50"/>
    </row>
    <row r="20">
      <c r="A20" s="70"/>
      <c r="B20" s="50"/>
      <c r="C20" s="72"/>
      <c r="D20" s="50"/>
      <c r="E20" s="50"/>
      <c r="F20" s="50"/>
      <c r="G20" s="50"/>
      <c r="H20" s="50"/>
    </row>
    <row r="21">
      <c r="A21" s="70"/>
      <c r="B21" s="50"/>
      <c r="C21" s="72"/>
      <c r="D21" s="50"/>
      <c r="E21" s="50"/>
      <c r="F21" s="50"/>
      <c r="G21" s="50"/>
      <c r="H21" s="50"/>
    </row>
    <row r="22">
      <c r="A22" s="70"/>
      <c r="B22" s="50"/>
      <c r="C22" s="72"/>
      <c r="D22" s="50"/>
      <c r="E22" s="50"/>
      <c r="F22" s="50"/>
      <c r="G22" s="50"/>
      <c r="H22" s="50"/>
    </row>
    <row r="23">
      <c r="A23" s="70"/>
      <c r="B23" s="50"/>
      <c r="C23" s="72"/>
      <c r="D23" s="50"/>
      <c r="E23" s="50"/>
      <c r="F23" s="50"/>
      <c r="G23" s="50"/>
      <c r="H23" s="50"/>
    </row>
    <row r="24">
      <c r="A24" s="70"/>
      <c r="B24" s="50"/>
      <c r="C24" s="72"/>
      <c r="D24" s="50"/>
      <c r="E24" s="50"/>
      <c r="F24" s="50"/>
      <c r="G24" s="50"/>
      <c r="H24" s="50"/>
    </row>
    <row r="25">
      <c r="A25" s="70"/>
      <c r="B25" s="50"/>
      <c r="C25" s="72"/>
      <c r="D25" s="50"/>
      <c r="E25" s="50"/>
      <c r="F25" s="50"/>
      <c r="G25" s="50"/>
      <c r="H25" s="50"/>
    </row>
    <row r="26">
      <c r="A26" s="70"/>
      <c r="B26" s="50"/>
      <c r="C26" s="72"/>
      <c r="D26" s="50"/>
      <c r="E26" s="50"/>
      <c r="F26" s="50"/>
      <c r="G26" s="50"/>
      <c r="H26" s="50"/>
    </row>
    <row r="27">
      <c r="A27" s="70"/>
      <c r="B27" s="50"/>
      <c r="C27" s="72"/>
      <c r="D27" s="50"/>
      <c r="E27" s="50"/>
      <c r="F27" s="50"/>
      <c r="G27" s="50"/>
      <c r="H27" s="50"/>
    </row>
    <row r="28">
      <c r="A28" s="70"/>
      <c r="B28" s="50"/>
      <c r="C28" s="72"/>
      <c r="D28" s="50"/>
      <c r="E28" s="50"/>
      <c r="F28" s="50"/>
      <c r="G28" s="50"/>
      <c r="H28" s="50"/>
    </row>
    <row r="29">
      <c r="A29" s="70"/>
      <c r="B29" s="50"/>
      <c r="C29" s="72"/>
      <c r="D29" s="50"/>
      <c r="E29" s="50"/>
      <c r="F29" s="50"/>
      <c r="G29" s="50"/>
      <c r="H29" s="50"/>
    </row>
    <row r="30">
      <c r="A30" s="70"/>
      <c r="B30" s="50"/>
      <c r="C30" s="72"/>
      <c r="D30" s="50"/>
      <c r="E30" s="50"/>
      <c r="F30" s="50"/>
      <c r="G30" s="50"/>
      <c r="H30" s="50"/>
    </row>
    <row r="31">
      <c r="A31" s="70"/>
      <c r="B31" s="50"/>
      <c r="C31" s="72"/>
      <c r="D31" s="50"/>
      <c r="E31" s="50"/>
      <c r="F31" s="50"/>
      <c r="G31" s="50"/>
      <c r="H31" s="50"/>
    </row>
    <row r="32">
      <c r="A32" s="70"/>
      <c r="B32" s="50"/>
      <c r="C32" s="72"/>
      <c r="D32" s="50"/>
      <c r="E32" s="50"/>
      <c r="F32" s="50"/>
      <c r="G32" s="50"/>
      <c r="H32" s="50"/>
    </row>
    <row r="33">
      <c r="A33" s="70"/>
      <c r="B33" s="50"/>
      <c r="C33" s="72"/>
      <c r="D33" s="50"/>
      <c r="E33" s="50"/>
      <c r="F33" s="50"/>
      <c r="G33" s="50"/>
      <c r="H33" s="50"/>
    </row>
    <row r="34">
      <c r="A34" s="70"/>
      <c r="B34" s="50"/>
      <c r="C34" s="72"/>
      <c r="D34" s="50"/>
      <c r="E34" s="50"/>
      <c r="F34" s="50"/>
      <c r="G34" s="50"/>
      <c r="H34" s="50"/>
    </row>
    <row r="35">
      <c r="A35" s="70"/>
      <c r="B35" s="50"/>
      <c r="C35" s="72"/>
      <c r="D35" s="50"/>
      <c r="E35" s="50"/>
      <c r="F35" s="50"/>
      <c r="G35" s="50"/>
      <c r="H35" s="50"/>
    </row>
    <row r="36">
      <c r="A36" s="70"/>
      <c r="B36" s="50"/>
      <c r="C36" s="72"/>
      <c r="D36" s="50"/>
      <c r="E36" s="50"/>
      <c r="F36" s="50"/>
      <c r="G36" s="50"/>
      <c r="H36" s="50"/>
    </row>
    <row r="37">
      <c r="A37" s="70"/>
      <c r="B37" s="50"/>
      <c r="C37" s="72"/>
      <c r="D37" s="50"/>
      <c r="E37" s="50"/>
      <c r="F37" s="50"/>
      <c r="G37" s="50"/>
      <c r="H37" s="50"/>
    </row>
    <row r="38">
      <c r="A38" s="70"/>
      <c r="B38" s="50"/>
      <c r="C38" s="72"/>
      <c r="D38" s="50"/>
      <c r="E38" s="50"/>
      <c r="F38" s="50"/>
      <c r="G38" s="50"/>
      <c r="H38" s="50"/>
    </row>
    <row r="39">
      <c r="A39" s="70"/>
      <c r="B39" s="50"/>
      <c r="C39" s="72"/>
      <c r="D39" s="50"/>
      <c r="E39" s="50"/>
      <c r="F39" s="50"/>
      <c r="G39" s="50"/>
      <c r="H39" s="50"/>
    </row>
    <row r="40">
      <c r="A40" s="70"/>
      <c r="B40" s="50"/>
      <c r="C40" s="72"/>
      <c r="D40" s="50"/>
      <c r="E40" s="50"/>
      <c r="F40" s="50"/>
      <c r="G40" s="50"/>
      <c r="H40" s="50"/>
    </row>
    <row r="41">
      <c r="A41" s="70"/>
      <c r="B41" s="50"/>
      <c r="C41" s="72"/>
      <c r="D41" s="50"/>
      <c r="E41" s="50"/>
      <c r="F41" s="50"/>
      <c r="G41" s="50"/>
      <c r="H41" s="50"/>
    </row>
    <row r="42">
      <c r="A42" s="70"/>
      <c r="B42" s="50"/>
      <c r="C42" s="72"/>
      <c r="D42" s="50"/>
      <c r="E42" s="50"/>
      <c r="F42" s="50"/>
      <c r="G42" s="50"/>
      <c r="H42" s="50"/>
    </row>
    <row r="43">
      <c r="A43" s="70"/>
      <c r="B43" s="50"/>
      <c r="C43" s="72"/>
      <c r="D43" s="50"/>
      <c r="E43" s="50"/>
      <c r="F43" s="50"/>
      <c r="G43" s="50"/>
      <c r="H43" s="50"/>
    </row>
    <row r="44">
      <c r="A44" s="70"/>
      <c r="B44" s="50"/>
      <c r="C44" s="72"/>
      <c r="D44" s="50"/>
      <c r="E44" s="50"/>
      <c r="F44" s="50"/>
      <c r="G44" s="50"/>
      <c r="H44" s="50"/>
    </row>
    <row r="45">
      <c r="A45" s="70"/>
      <c r="B45" s="50"/>
      <c r="C45" s="72"/>
      <c r="D45" s="50"/>
      <c r="E45" s="50"/>
      <c r="F45" s="50"/>
      <c r="G45" s="50"/>
      <c r="H45" s="50"/>
    </row>
    <row r="46">
      <c r="A46" s="70"/>
      <c r="B46" s="50"/>
      <c r="C46" s="72"/>
      <c r="D46" s="50"/>
      <c r="E46" s="50"/>
      <c r="F46" s="50"/>
      <c r="G46" s="50"/>
      <c r="H46" s="50"/>
    </row>
    <row r="47">
      <c r="A47" s="70"/>
      <c r="B47" s="50"/>
      <c r="C47" s="72"/>
      <c r="D47" s="50"/>
      <c r="E47" s="50"/>
      <c r="F47" s="50"/>
      <c r="G47" s="50"/>
      <c r="H47" s="50"/>
    </row>
    <row r="48">
      <c r="A48" s="70"/>
      <c r="B48" s="50"/>
      <c r="C48" s="72"/>
      <c r="D48" s="50"/>
      <c r="E48" s="50"/>
      <c r="F48" s="50"/>
      <c r="G48" s="50"/>
      <c r="H48" s="50"/>
    </row>
    <row r="49">
      <c r="A49" s="70"/>
      <c r="B49" s="50"/>
      <c r="C49" s="72"/>
      <c r="D49" s="50"/>
      <c r="E49" s="50"/>
      <c r="F49" s="50"/>
      <c r="G49" s="50"/>
      <c r="H49" s="50"/>
    </row>
    <row r="50">
      <c r="A50" s="70"/>
      <c r="B50" s="50"/>
      <c r="C50" s="72"/>
      <c r="D50" s="50"/>
      <c r="E50" s="50"/>
      <c r="F50" s="50"/>
      <c r="G50" s="50"/>
      <c r="H50" s="50"/>
    </row>
    <row r="51">
      <c r="A51" s="70"/>
      <c r="B51" s="50"/>
      <c r="C51" s="72"/>
      <c r="D51" s="50"/>
      <c r="E51" s="50"/>
      <c r="F51" s="50"/>
      <c r="G51" s="50"/>
      <c r="H51" s="50"/>
    </row>
    <row r="52">
      <c r="A52" s="70"/>
      <c r="B52" s="50"/>
      <c r="C52" s="72"/>
      <c r="D52" s="50"/>
      <c r="E52" s="50"/>
      <c r="F52" s="50"/>
      <c r="G52" s="50"/>
      <c r="H52" s="50"/>
    </row>
    <row r="53">
      <c r="A53" s="70"/>
      <c r="B53" s="50"/>
      <c r="C53" s="72"/>
      <c r="D53" s="50"/>
      <c r="E53" s="50"/>
      <c r="F53" s="50"/>
      <c r="G53" s="50"/>
      <c r="H53" s="50"/>
    </row>
    <row r="54">
      <c r="A54" s="70"/>
      <c r="B54" s="50"/>
      <c r="C54" s="72"/>
      <c r="D54" s="50"/>
      <c r="E54" s="50"/>
      <c r="F54" s="50"/>
      <c r="G54" s="50"/>
      <c r="H54" s="50"/>
    </row>
    <row r="55">
      <c r="A55" s="70"/>
      <c r="B55" s="50"/>
      <c r="C55" s="72"/>
      <c r="D55" s="50"/>
      <c r="E55" s="50"/>
      <c r="F55" s="50"/>
      <c r="G55" s="50"/>
      <c r="H55" s="50"/>
    </row>
    <row r="56">
      <c r="A56" s="70"/>
      <c r="B56" s="50"/>
      <c r="C56" s="72"/>
      <c r="D56" s="50"/>
      <c r="E56" s="50"/>
      <c r="F56" s="50"/>
      <c r="G56" s="50"/>
      <c r="H56" s="50"/>
    </row>
    <row r="57">
      <c r="A57" s="70"/>
      <c r="B57" s="50"/>
      <c r="C57" s="72"/>
      <c r="D57" s="50"/>
      <c r="E57" s="50"/>
      <c r="F57" s="50"/>
      <c r="G57" s="50"/>
      <c r="H57" s="50"/>
    </row>
    <row r="58">
      <c r="A58" s="70"/>
      <c r="B58" s="50"/>
      <c r="C58" s="72"/>
      <c r="D58" s="50"/>
      <c r="E58" s="50"/>
      <c r="F58" s="50"/>
      <c r="G58" s="50"/>
      <c r="H58" s="50"/>
    </row>
    <row r="59">
      <c r="A59" s="70"/>
      <c r="B59" s="50"/>
      <c r="C59" s="72"/>
      <c r="D59" s="50"/>
      <c r="E59" s="50"/>
      <c r="F59" s="50"/>
      <c r="G59" s="50"/>
      <c r="H59" s="50"/>
    </row>
    <row r="60">
      <c r="A60" s="70"/>
      <c r="B60" s="50"/>
      <c r="C60" s="72"/>
      <c r="D60" s="50"/>
      <c r="E60" s="50"/>
      <c r="F60" s="50"/>
      <c r="G60" s="50"/>
      <c r="H60" s="50"/>
    </row>
    <row r="61">
      <c r="A61" s="70"/>
      <c r="B61" s="50"/>
      <c r="C61" s="72"/>
      <c r="D61" s="50"/>
      <c r="E61" s="50"/>
      <c r="F61" s="50"/>
      <c r="G61" s="50"/>
      <c r="H61" s="50"/>
    </row>
    <row r="62">
      <c r="A62" s="70"/>
      <c r="B62" s="50"/>
      <c r="C62" s="72"/>
      <c r="D62" s="50"/>
      <c r="E62" s="50"/>
      <c r="F62" s="50"/>
      <c r="G62" s="50"/>
      <c r="H62" s="50"/>
    </row>
    <row r="63">
      <c r="A63" s="70"/>
      <c r="B63" s="50"/>
      <c r="C63" s="72"/>
      <c r="D63" s="50"/>
      <c r="E63" s="50"/>
      <c r="F63" s="50"/>
      <c r="G63" s="50"/>
      <c r="H63" s="50"/>
    </row>
    <row r="64">
      <c r="A64" s="70"/>
      <c r="B64" s="50"/>
      <c r="C64" s="72"/>
      <c r="D64" s="50"/>
      <c r="E64" s="50"/>
      <c r="F64" s="50"/>
      <c r="G64" s="50"/>
      <c r="H64" s="50"/>
    </row>
    <row r="65">
      <c r="A65" s="70"/>
      <c r="B65" s="50"/>
      <c r="C65" s="72"/>
      <c r="D65" s="50"/>
      <c r="E65" s="50"/>
      <c r="F65" s="50"/>
      <c r="G65" s="50"/>
      <c r="H65" s="50"/>
    </row>
    <row r="66">
      <c r="A66" s="70"/>
      <c r="B66" s="50"/>
      <c r="C66" s="72"/>
      <c r="D66" s="50"/>
      <c r="E66" s="50"/>
      <c r="F66" s="50"/>
      <c r="G66" s="50"/>
      <c r="H66" s="50"/>
    </row>
    <row r="67">
      <c r="A67" s="70"/>
      <c r="B67" s="50"/>
      <c r="C67" s="72"/>
      <c r="D67" s="50"/>
      <c r="E67" s="50"/>
      <c r="F67" s="50"/>
      <c r="G67" s="50"/>
      <c r="H67" s="50"/>
    </row>
    <row r="68">
      <c r="A68" s="70"/>
      <c r="B68" s="50"/>
      <c r="C68" s="72"/>
      <c r="D68" s="50"/>
      <c r="E68" s="50"/>
      <c r="F68" s="50"/>
      <c r="G68" s="50"/>
      <c r="H68" s="50"/>
    </row>
    <row r="69">
      <c r="A69" s="70"/>
      <c r="B69" s="50"/>
      <c r="C69" s="72"/>
      <c r="D69" s="50"/>
      <c r="E69" s="50"/>
      <c r="F69" s="50"/>
      <c r="G69" s="50"/>
      <c r="H69" s="50"/>
    </row>
    <row r="70">
      <c r="A70" s="70"/>
      <c r="B70" s="50"/>
      <c r="C70" s="72"/>
      <c r="D70" s="50"/>
      <c r="E70" s="50"/>
      <c r="F70" s="50"/>
      <c r="G70" s="50"/>
      <c r="H70" s="50"/>
    </row>
    <row r="71">
      <c r="A71" s="70"/>
      <c r="B71" s="50"/>
      <c r="C71" s="72"/>
      <c r="D71" s="50"/>
      <c r="E71" s="50"/>
      <c r="F71" s="50"/>
      <c r="G71" s="50"/>
      <c r="H71" s="50"/>
    </row>
    <row r="72">
      <c r="A72" s="70"/>
      <c r="B72" s="50"/>
      <c r="C72" s="72"/>
      <c r="D72" s="50"/>
      <c r="E72" s="50"/>
      <c r="F72" s="50"/>
      <c r="G72" s="50"/>
      <c r="H72" s="50"/>
    </row>
    <row r="73">
      <c r="A73" s="70"/>
      <c r="B73" s="50"/>
      <c r="C73" s="72"/>
      <c r="D73" s="50"/>
      <c r="E73" s="50"/>
      <c r="F73" s="50"/>
      <c r="G73" s="50"/>
      <c r="H73" s="50"/>
    </row>
    <row r="74">
      <c r="A74" s="70"/>
      <c r="B74" s="50"/>
      <c r="C74" s="72"/>
      <c r="D74" s="50"/>
      <c r="E74" s="50"/>
      <c r="F74" s="50"/>
      <c r="G74" s="50"/>
      <c r="H74" s="50"/>
    </row>
    <row r="75">
      <c r="A75" s="70"/>
      <c r="B75" s="50"/>
      <c r="C75" s="72"/>
      <c r="D75" s="50"/>
      <c r="E75" s="50"/>
      <c r="F75" s="50"/>
      <c r="G75" s="50"/>
      <c r="H75" s="50"/>
    </row>
    <row r="76">
      <c r="A76" s="70"/>
      <c r="B76" s="50"/>
      <c r="C76" s="72"/>
      <c r="D76" s="50"/>
      <c r="E76" s="50"/>
      <c r="F76" s="50"/>
      <c r="G76" s="50"/>
      <c r="H76" s="50"/>
    </row>
    <row r="77">
      <c r="A77" s="70"/>
      <c r="B77" s="50"/>
      <c r="C77" s="72"/>
      <c r="D77" s="50"/>
      <c r="E77" s="50"/>
      <c r="F77" s="50"/>
      <c r="G77" s="50"/>
      <c r="H77" s="50"/>
    </row>
    <row r="78">
      <c r="A78" s="70"/>
      <c r="B78" s="50"/>
      <c r="C78" s="72"/>
      <c r="D78" s="50"/>
      <c r="E78" s="50"/>
      <c r="F78" s="50"/>
      <c r="G78" s="50"/>
      <c r="H78" s="50"/>
    </row>
    <row r="79">
      <c r="A79" s="70"/>
      <c r="B79" s="50"/>
      <c r="C79" s="72"/>
      <c r="D79" s="50"/>
      <c r="E79" s="50"/>
      <c r="F79" s="50"/>
      <c r="G79" s="50"/>
      <c r="H79" s="50"/>
    </row>
    <row r="80">
      <c r="A80" s="70"/>
      <c r="B80" s="50"/>
      <c r="C80" s="72"/>
      <c r="D80" s="50"/>
      <c r="E80" s="50"/>
      <c r="F80" s="50"/>
      <c r="G80" s="50"/>
      <c r="H80" s="50"/>
    </row>
    <row r="81">
      <c r="A81" s="70"/>
      <c r="B81" s="50"/>
      <c r="C81" s="72"/>
      <c r="D81" s="50"/>
      <c r="E81" s="50"/>
      <c r="F81" s="50"/>
      <c r="G81" s="50"/>
      <c r="H81" s="50"/>
    </row>
    <row r="82">
      <c r="A82" s="70"/>
      <c r="B82" s="50"/>
      <c r="C82" s="72"/>
      <c r="D82" s="50"/>
      <c r="E82" s="50"/>
      <c r="F82" s="50"/>
      <c r="G82" s="50"/>
      <c r="H82" s="50"/>
    </row>
    <row r="83">
      <c r="A83" s="70"/>
      <c r="B83" s="50"/>
      <c r="C83" s="72"/>
      <c r="D83" s="50"/>
      <c r="E83" s="50"/>
      <c r="F83" s="50"/>
      <c r="G83" s="50"/>
      <c r="H83" s="50"/>
    </row>
    <row r="84">
      <c r="A84" s="70"/>
      <c r="B84" s="50"/>
      <c r="C84" s="72"/>
      <c r="D84" s="50"/>
      <c r="E84" s="50"/>
      <c r="F84" s="50"/>
      <c r="G84" s="50"/>
      <c r="H84" s="50"/>
    </row>
    <row r="85">
      <c r="A85" s="70"/>
      <c r="B85" s="50"/>
      <c r="C85" s="72"/>
      <c r="D85" s="50"/>
      <c r="E85" s="50"/>
      <c r="F85" s="50"/>
      <c r="G85" s="50"/>
      <c r="H85" s="50"/>
    </row>
    <row r="86">
      <c r="A86" s="70"/>
      <c r="B86" s="50"/>
      <c r="C86" s="72"/>
      <c r="D86" s="50"/>
      <c r="E86" s="50"/>
      <c r="F86" s="50"/>
      <c r="G86" s="50"/>
      <c r="H86" s="50"/>
    </row>
    <row r="87">
      <c r="A87" s="70"/>
      <c r="B87" s="50"/>
      <c r="C87" s="72"/>
      <c r="D87" s="50"/>
      <c r="E87" s="50"/>
      <c r="F87" s="50"/>
      <c r="G87" s="50"/>
      <c r="H87" s="50"/>
    </row>
    <row r="88">
      <c r="A88" s="70"/>
      <c r="B88" s="50"/>
      <c r="C88" s="72"/>
      <c r="D88" s="50"/>
      <c r="E88" s="50"/>
      <c r="F88" s="50"/>
      <c r="G88" s="50"/>
      <c r="H88" s="50"/>
    </row>
    <row r="89">
      <c r="A89" s="70"/>
      <c r="B89" s="50"/>
      <c r="C89" s="72"/>
      <c r="D89" s="50"/>
      <c r="E89" s="50"/>
      <c r="F89" s="50"/>
      <c r="G89" s="50"/>
      <c r="H89" s="50"/>
    </row>
    <row r="90">
      <c r="A90" s="70"/>
      <c r="B90" s="50"/>
      <c r="C90" s="72"/>
      <c r="D90" s="50"/>
      <c r="E90" s="50"/>
      <c r="F90" s="50"/>
      <c r="G90" s="50"/>
      <c r="H90" s="50"/>
    </row>
    <row r="91">
      <c r="A91" s="70"/>
      <c r="B91" s="50"/>
      <c r="C91" s="72"/>
      <c r="D91" s="50"/>
      <c r="E91" s="50"/>
      <c r="F91" s="50"/>
      <c r="G91" s="50"/>
      <c r="H91" s="50"/>
    </row>
    <row r="92">
      <c r="A92" s="70"/>
      <c r="B92" s="50"/>
      <c r="C92" s="72"/>
      <c r="D92" s="50"/>
      <c r="E92" s="50"/>
      <c r="F92" s="50"/>
      <c r="G92" s="50"/>
      <c r="H92" s="50"/>
    </row>
    <row r="93">
      <c r="A93" s="70"/>
      <c r="B93" s="50"/>
      <c r="C93" s="72"/>
      <c r="D93" s="50"/>
      <c r="E93" s="50"/>
      <c r="F93" s="50"/>
      <c r="G93" s="50"/>
      <c r="H93" s="50"/>
    </row>
    <row r="94">
      <c r="A94" s="70"/>
      <c r="B94" s="50"/>
      <c r="C94" s="72"/>
      <c r="D94" s="50"/>
      <c r="E94" s="50"/>
      <c r="F94" s="50"/>
      <c r="G94" s="50"/>
      <c r="H94" s="50"/>
    </row>
    <row r="95">
      <c r="A95" s="70"/>
      <c r="B95" s="50"/>
      <c r="C95" s="72"/>
      <c r="D95" s="50"/>
      <c r="E95" s="50"/>
      <c r="F95" s="50"/>
      <c r="G95" s="50"/>
      <c r="H95" s="50"/>
    </row>
    <row r="96">
      <c r="A96" s="70"/>
      <c r="B96" s="50"/>
      <c r="C96" s="72"/>
      <c r="D96" s="50"/>
      <c r="E96" s="50"/>
      <c r="F96" s="50"/>
      <c r="G96" s="50"/>
      <c r="H96" s="50"/>
    </row>
    <row r="97">
      <c r="A97" s="70"/>
      <c r="B97" s="50"/>
      <c r="C97" s="72"/>
      <c r="D97" s="50"/>
      <c r="E97" s="50"/>
      <c r="F97" s="50"/>
      <c r="G97" s="50"/>
      <c r="H97" s="50"/>
    </row>
    <row r="98">
      <c r="A98" s="70"/>
      <c r="B98" s="50"/>
      <c r="C98" s="72"/>
      <c r="D98" s="50"/>
      <c r="E98" s="50"/>
      <c r="F98" s="50"/>
      <c r="G98" s="50"/>
      <c r="H98" s="50"/>
    </row>
    <row r="99">
      <c r="A99" s="70"/>
      <c r="B99" s="50"/>
      <c r="C99" s="72"/>
      <c r="D99" s="50"/>
      <c r="E99" s="50"/>
      <c r="F99" s="50"/>
      <c r="G99" s="50"/>
      <c r="H99" s="50"/>
    </row>
    <row r="100">
      <c r="A100" s="70"/>
      <c r="B100" s="50"/>
      <c r="C100" s="72"/>
      <c r="D100" s="50"/>
      <c r="E100" s="50"/>
      <c r="F100" s="50"/>
      <c r="G100" s="50"/>
      <c r="H100" s="50"/>
    </row>
  </sheetData>
  <dataValidations>
    <dataValidation type="decimal" operator="greaterThan" allowBlank="1" showDropDown="1" showErrorMessage="1" sqref="B2:B4 B6:B100">
      <formula1>0.0</formula1>
    </dataValidation>
  </dataValidations>
  <hyperlinks>
    <hyperlink r:id="rId2" ref="G2"/>
  </hyperlinks>
  <drawing r:id="rId3"/>
  <legacy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8.0"/>
    <col customWidth="1" min="3" max="3" width="9.75"/>
    <col customWidth="1" min="4" max="4" width="5.88"/>
    <col customWidth="1" min="5" max="5" width="8.0"/>
    <col customWidth="1" min="6" max="6" width="12.25"/>
    <col customWidth="1" min="7" max="7" width="18.25"/>
  </cols>
  <sheetData>
    <row r="1" ht="30.0" customHeight="1">
      <c r="A1" s="15" t="s">
        <v>53</v>
      </c>
      <c r="B1" s="15" t="s">
        <v>19</v>
      </c>
      <c r="C1" s="15" t="s">
        <v>54</v>
      </c>
      <c r="D1" s="15" t="s">
        <v>7</v>
      </c>
      <c r="E1" s="15" t="s">
        <v>8</v>
      </c>
      <c r="F1" s="15" t="s">
        <v>55</v>
      </c>
      <c r="G1" s="15" t="s">
        <v>28</v>
      </c>
    </row>
    <row r="2">
      <c r="A2" s="19">
        <v>46270.0</v>
      </c>
      <c r="B2" s="24">
        <v>6524939.0</v>
      </c>
      <c r="C2" s="27">
        <v>27.0</v>
      </c>
      <c r="D2" s="50" t="str">
        <f t="array" ref="D2">IFERROR(VLOOKUP(B2,{Alunni!$E:$E,Alunni!$B:$B},2,0),"")</f>
        <v>Mario</v>
      </c>
      <c r="E2" s="50" t="str">
        <f t="array" ref="E2">IFERROR(VLOOKUP(B2,{Alunni!$E:$E,Alunni!$C:$C},2,0),"")</f>
        <v>Rossi</v>
      </c>
      <c r="F2" s="24" t="s">
        <v>62</v>
      </c>
      <c r="G2" s="24" t="s">
        <v>63</v>
      </c>
    </row>
    <row r="3">
      <c r="A3" s="19">
        <v>46270.0</v>
      </c>
      <c r="B3" s="24">
        <v>3848055.0</v>
      </c>
      <c r="C3" s="27">
        <v>53.0</v>
      </c>
      <c r="D3" s="50" t="str">
        <f t="array" ref="D3">IFERROR(VLOOKUP(B3,{Alunni!$E:$E,Alunni!$B:$B},2,0),"")</f>
        <v>Bianca</v>
      </c>
      <c r="E3" s="50" t="str">
        <f t="array" ref="E3">IFERROR(VLOOKUP(B3,{Alunni!$E:$E,Alunni!$C:$C},2,0),"")</f>
        <v>Bianchi</v>
      </c>
      <c r="F3" s="24" t="s">
        <v>64</v>
      </c>
      <c r="G3" s="24" t="s">
        <v>63</v>
      </c>
    </row>
    <row r="4">
      <c r="A4" s="19">
        <v>46270.0</v>
      </c>
      <c r="B4" s="24">
        <v>5969695.0</v>
      </c>
      <c r="C4" s="27">
        <v>5.0</v>
      </c>
      <c r="D4" s="50" t="str">
        <f t="array" ref="D4">IFERROR(VLOOKUP(B4,{Alunni!$E:$E,Alunni!$B:$B},2,0),"")</f>
        <v>Ciccio</v>
      </c>
      <c r="E4" s="50" t="str">
        <f t="array" ref="E4">IFERROR(VLOOKUP(B4,{Alunni!$E:$E,Alunni!$C:$C},2,0),"")</f>
        <v>Pasticcio</v>
      </c>
      <c r="F4" s="24" t="s">
        <v>65</v>
      </c>
      <c r="G4" s="24" t="s">
        <v>63</v>
      </c>
    </row>
    <row r="5">
      <c r="A5" s="19">
        <v>46270.0</v>
      </c>
      <c r="B5" s="24">
        <v>1654165.0</v>
      </c>
      <c r="C5" s="27">
        <v>6.0</v>
      </c>
      <c r="D5" s="50" t="str">
        <f t="array" ref="D5">IFERROR(VLOOKUP(B5,{Alunni!$E:$E,Alunni!$B:$B},2,0),"")</f>
        <v>Pinco</v>
      </c>
      <c r="E5" s="50" t="str">
        <f t="array" ref="E5">IFERROR(VLOOKUP(B5,{Alunni!$E:$E,Alunni!$C:$C},2,0),"")</f>
        <v>Pallo</v>
      </c>
      <c r="F5" s="24" t="s">
        <v>66</v>
      </c>
      <c r="G5" s="24" t="s">
        <v>63</v>
      </c>
    </row>
    <row r="6">
      <c r="A6" s="70"/>
      <c r="B6" s="50"/>
      <c r="C6" s="72"/>
      <c r="D6" s="50"/>
      <c r="E6" s="50"/>
      <c r="F6" s="50"/>
      <c r="G6" s="50"/>
    </row>
    <row r="7">
      <c r="A7" s="70"/>
      <c r="B7" s="50"/>
      <c r="C7" s="72"/>
      <c r="D7" s="50"/>
      <c r="E7" s="50"/>
      <c r="F7" s="50"/>
      <c r="G7" s="50"/>
    </row>
    <row r="8">
      <c r="A8" s="70"/>
      <c r="B8" s="50"/>
      <c r="C8" s="72"/>
      <c r="D8" s="50"/>
      <c r="E8" s="50"/>
      <c r="F8" s="50"/>
      <c r="G8" s="50"/>
    </row>
    <row r="9">
      <c r="A9" s="70"/>
      <c r="B9" s="50"/>
      <c r="C9" s="72"/>
      <c r="D9" s="50"/>
      <c r="E9" s="50"/>
      <c r="F9" s="50"/>
      <c r="G9" s="50"/>
    </row>
    <row r="10">
      <c r="A10" s="70"/>
      <c r="B10" s="50"/>
      <c r="C10" s="72"/>
      <c r="D10" s="50"/>
      <c r="E10" s="50"/>
      <c r="F10" s="50"/>
      <c r="G10" s="50"/>
    </row>
    <row r="11">
      <c r="A11" s="70"/>
      <c r="B11" s="50"/>
      <c r="C11" s="72"/>
      <c r="D11" s="50"/>
      <c r="E11" s="50"/>
      <c r="F11" s="50"/>
      <c r="G11" s="50"/>
    </row>
    <row r="12">
      <c r="A12" s="70"/>
      <c r="B12" s="50"/>
      <c r="C12" s="72"/>
      <c r="D12" s="50"/>
      <c r="E12" s="50"/>
      <c r="F12" s="50"/>
      <c r="G12" s="50"/>
    </row>
    <row r="13">
      <c r="A13" s="70"/>
      <c r="B13" s="50"/>
      <c r="C13" s="72"/>
      <c r="D13" s="50"/>
      <c r="E13" s="50"/>
      <c r="F13" s="50"/>
      <c r="G13" s="50"/>
    </row>
    <row r="14">
      <c r="A14" s="70"/>
      <c r="B14" s="50"/>
      <c r="C14" s="72"/>
      <c r="D14" s="50"/>
      <c r="E14" s="50"/>
      <c r="F14" s="50"/>
      <c r="G14" s="50"/>
    </row>
    <row r="15">
      <c r="A15" s="70"/>
      <c r="B15" s="50"/>
      <c r="C15" s="72"/>
      <c r="D15" s="50"/>
      <c r="E15" s="50"/>
      <c r="F15" s="50"/>
      <c r="G15" s="50"/>
    </row>
    <row r="16">
      <c r="A16" s="70"/>
      <c r="B16" s="50"/>
      <c r="C16" s="72"/>
      <c r="D16" s="50"/>
      <c r="E16" s="50"/>
      <c r="F16" s="50"/>
      <c r="G16" s="50"/>
    </row>
    <row r="17">
      <c r="A17" s="70"/>
      <c r="B17" s="50"/>
      <c r="C17" s="72"/>
      <c r="D17" s="50"/>
      <c r="E17" s="50"/>
      <c r="F17" s="50"/>
      <c r="G17" s="50"/>
    </row>
    <row r="18">
      <c r="A18" s="70"/>
      <c r="B18" s="50"/>
      <c r="C18" s="72"/>
      <c r="D18" s="50"/>
      <c r="E18" s="50"/>
      <c r="F18" s="50"/>
      <c r="G18" s="50"/>
    </row>
    <row r="19">
      <c r="A19" s="70"/>
      <c r="B19" s="50"/>
      <c r="C19" s="72"/>
      <c r="D19" s="50"/>
      <c r="E19" s="50"/>
      <c r="F19" s="50"/>
      <c r="G19" s="50"/>
    </row>
    <row r="20">
      <c r="A20" s="70"/>
      <c r="B20" s="50"/>
      <c r="C20" s="72"/>
      <c r="D20" s="50"/>
      <c r="E20" s="50"/>
      <c r="F20" s="50"/>
      <c r="G20" s="50"/>
    </row>
    <row r="21">
      <c r="A21" s="70"/>
      <c r="B21" s="50"/>
      <c r="C21" s="72"/>
      <c r="D21" s="50"/>
      <c r="E21" s="50"/>
      <c r="F21" s="50"/>
      <c r="G21" s="50"/>
    </row>
    <row r="22">
      <c r="A22" s="70"/>
      <c r="B22" s="50"/>
      <c r="C22" s="72"/>
      <c r="D22" s="50"/>
      <c r="E22" s="50"/>
      <c r="F22" s="50"/>
      <c r="G22" s="50"/>
    </row>
    <row r="23">
      <c r="A23" s="70"/>
      <c r="B23" s="50"/>
      <c r="C23" s="72"/>
      <c r="D23" s="50"/>
      <c r="E23" s="50"/>
      <c r="F23" s="50"/>
      <c r="G23" s="50"/>
    </row>
    <row r="24">
      <c r="A24" s="70"/>
      <c r="B24" s="50"/>
      <c r="C24" s="72"/>
      <c r="D24" s="50"/>
      <c r="E24" s="50"/>
      <c r="F24" s="50"/>
      <c r="G24" s="50"/>
    </row>
    <row r="25">
      <c r="A25" s="70"/>
      <c r="B25" s="50"/>
      <c r="C25" s="72"/>
      <c r="D25" s="50"/>
      <c r="E25" s="50"/>
      <c r="F25" s="50"/>
      <c r="G25" s="50"/>
    </row>
    <row r="26">
      <c r="A26" s="70"/>
      <c r="B26" s="50"/>
      <c r="C26" s="72"/>
      <c r="D26" s="50"/>
      <c r="E26" s="50"/>
      <c r="F26" s="50"/>
      <c r="G26" s="50"/>
    </row>
    <row r="27">
      <c r="A27" s="70"/>
      <c r="B27" s="50"/>
      <c r="C27" s="72"/>
      <c r="D27" s="50"/>
      <c r="E27" s="50"/>
      <c r="F27" s="50"/>
      <c r="G27" s="50"/>
    </row>
    <row r="28">
      <c r="A28" s="70"/>
      <c r="B28" s="50"/>
      <c r="C28" s="72"/>
      <c r="D28" s="50"/>
      <c r="E28" s="50"/>
      <c r="F28" s="50"/>
      <c r="G28" s="50"/>
    </row>
    <row r="29">
      <c r="A29" s="70"/>
      <c r="B29" s="50"/>
      <c r="C29" s="72"/>
      <c r="D29" s="50"/>
      <c r="E29" s="50"/>
      <c r="F29" s="50"/>
      <c r="G29" s="50"/>
    </row>
    <row r="30">
      <c r="A30" s="70"/>
      <c r="B30" s="50"/>
      <c r="C30" s="72"/>
      <c r="D30" s="50"/>
      <c r="E30" s="50"/>
      <c r="F30" s="50"/>
      <c r="G30" s="50"/>
    </row>
    <row r="31">
      <c r="A31" s="70"/>
      <c r="B31" s="50"/>
      <c r="C31" s="72"/>
      <c r="D31" s="50"/>
      <c r="E31" s="50"/>
      <c r="F31" s="50"/>
      <c r="G31" s="50"/>
    </row>
    <row r="32">
      <c r="A32" s="70"/>
      <c r="B32" s="50"/>
      <c r="C32" s="72"/>
      <c r="D32" s="50"/>
      <c r="E32" s="50"/>
      <c r="F32" s="50"/>
      <c r="G32" s="50"/>
    </row>
    <row r="33">
      <c r="A33" s="70"/>
      <c r="B33" s="50"/>
      <c r="C33" s="72"/>
      <c r="D33" s="50"/>
      <c r="E33" s="50"/>
      <c r="F33" s="50"/>
      <c r="G33" s="50"/>
    </row>
    <row r="34">
      <c r="A34" s="70"/>
      <c r="B34" s="50"/>
      <c r="C34" s="72"/>
      <c r="D34" s="50"/>
      <c r="E34" s="50"/>
      <c r="F34" s="50"/>
      <c r="G34" s="50"/>
    </row>
    <row r="35">
      <c r="A35" s="70"/>
      <c r="B35" s="50"/>
      <c r="C35" s="72"/>
      <c r="D35" s="50"/>
      <c r="E35" s="50"/>
      <c r="F35" s="50"/>
      <c r="G35" s="50"/>
    </row>
    <row r="36">
      <c r="A36" s="70"/>
      <c r="B36" s="50"/>
      <c r="C36" s="72"/>
      <c r="D36" s="50"/>
      <c r="E36" s="50"/>
      <c r="F36" s="50"/>
      <c r="G36" s="50"/>
    </row>
    <row r="37">
      <c r="A37" s="70"/>
      <c r="B37" s="50"/>
      <c r="C37" s="72"/>
      <c r="D37" s="50"/>
      <c r="E37" s="50"/>
      <c r="F37" s="50"/>
      <c r="G37" s="50"/>
    </row>
    <row r="38">
      <c r="A38" s="70"/>
      <c r="B38" s="50"/>
      <c r="C38" s="72"/>
      <c r="D38" s="50"/>
      <c r="E38" s="50"/>
      <c r="F38" s="50"/>
      <c r="G38" s="50"/>
    </row>
    <row r="39">
      <c r="A39" s="70"/>
      <c r="B39" s="50"/>
      <c r="C39" s="72"/>
      <c r="D39" s="50"/>
      <c r="E39" s="50"/>
      <c r="F39" s="50"/>
      <c r="G39" s="50"/>
    </row>
    <row r="40">
      <c r="A40" s="70"/>
      <c r="B40" s="50"/>
      <c r="C40" s="72"/>
      <c r="D40" s="50"/>
      <c r="E40" s="50"/>
      <c r="F40" s="50"/>
      <c r="G40" s="50"/>
    </row>
    <row r="41">
      <c r="A41" s="70"/>
      <c r="B41" s="50"/>
      <c r="C41" s="72"/>
      <c r="D41" s="50"/>
      <c r="E41" s="50"/>
      <c r="F41" s="50"/>
      <c r="G41" s="50"/>
    </row>
    <row r="42">
      <c r="A42" s="70"/>
      <c r="B42" s="50"/>
      <c r="C42" s="72"/>
      <c r="D42" s="50"/>
      <c r="E42" s="50"/>
      <c r="F42" s="50"/>
      <c r="G42" s="50"/>
    </row>
    <row r="43">
      <c r="A43" s="70"/>
      <c r="B43" s="50"/>
      <c r="C43" s="72"/>
      <c r="D43" s="50"/>
      <c r="E43" s="50"/>
      <c r="F43" s="50"/>
      <c r="G43" s="50"/>
    </row>
    <row r="44">
      <c r="A44" s="70"/>
      <c r="B44" s="50"/>
      <c r="C44" s="72"/>
      <c r="D44" s="50"/>
      <c r="E44" s="50"/>
      <c r="F44" s="50"/>
      <c r="G44" s="50"/>
    </row>
    <row r="45">
      <c r="A45" s="70"/>
      <c r="B45" s="50"/>
      <c r="C45" s="72"/>
      <c r="D45" s="50"/>
      <c r="E45" s="50"/>
      <c r="F45" s="50"/>
      <c r="G45" s="50"/>
    </row>
    <row r="46">
      <c r="A46" s="70"/>
      <c r="B46" s="50"/>
      <c r="C46" s="72"/>
      <c r="D46" s="50"/>
      <c r="E46" s="50"/>
      <c r="F46" s="50"/>
      <c r="G46" s="50"/>
    </row>
    <row r="47">
      <c r="A47" s="70"/>
      <c r="B47" s="50"/>
      <c r="C47" s="72"/>
      <c r="D47" s="50"/>
      <c r="E47" s="50"/>
      <c r="F47" s="50"/>
      <c r="G47" s="50"/>
    </row>
    <row r="48">
      <c r="A48" s="70"/>
      <c r="B48" s="50"/>
      <c r="C48" s="72"/>
      <c r="D48" s="50"/>
      <c r="E48" s="50"/>
      <c r="F48" s="50"/>
      <c r="G48" s="50"/>
    </row>
    <row r="49">
      <c r="A49" s="70"/>
      <c r="B49" s="50"/>
      <c r="C49" s="72"/>
      <c r="D49" s="50"/>
      <c r="E49" s="50"/>
      <c r="F49" s="50"/>
      <c r="G49" s="50"/>
    </row>
    <row r="50">
      <c r="A50" s="70"/>
      <c r="B50" s="50"/>
      <c r="C50" s="72"/>
      <c r="D50" s="50"/>
      <c r="E50" s="50"/>
      <c r="F50" s="50"/>
      <c r="G50" s="50"/>
    </row>
    <row r="51">
      <c r="A51" s="70"/>
      <c r="B51" s="50"/>
      <c r="C51" s="72"/>
      <c r="D51" s="50"/>
      <c r="E51" s="50"/>
      <c r="F51" s="50"/>
      <c r="G51" s="50"/>
    </row>
    <row r="52">
      <c r="A52" s="70"/>
      <c r="B52" s="50"/>
      <c r="C52" s="72"/>
      <c r="D52" s="50"/>
      <c r="E52" s="50"/>
      <c r="F52" s="50"/>
      <c r="G52" s="50"/>
    </row>
    <row r="53">
      <c r="A53" s="70"/>
      <c r="B53" s="50"/>
      <c r="C53" s="72"/>
      <c r="D53" s="50"/>
      <c r="E53" s="50"/>
      <c r="F53" s="50"/>
      <c r="G53" s="50"/>
    </row>
    <row r="54">
      <c r="A54" s="70"/>
      <c r="B54" s="50"/>
      <c r="C54" s="72"/>
      <c r="D54" s="50"/>
      <c r="E54" s="50"/>
      <c r="F54" s="50"/>
      <c r="G54" s="50"/>
    </row>
    <row r="55">
      <c r="A55" s="70"/>
      <c r="B55" s="50"/>
      <c r="C55" s="72"/>
      <c r="D55" s="50"/>
      <c r="E55" s="50"/>
      <c r="F55" s="50"/>
      <c r="G55" s="50"/>
    </row>
    <row r="56">
      <c r="A56" s="70"/>
      <c r="B56" s="50"/>
      <c r="C56" s="72"/>
      <c r="D56" s="50"/>
      <c r="E56" s="50"/>
      <c r="F56" s="50"/>
      <c r="G56" s="50"/>
    </row>
    <row r="57">
      <c r="A57" s="70"/>
      <c r="B57" s="50"/>
      <c r="C57" s="72"/>
      <c r="D57" s="50"/>
      <c r="E57" s="50"/>
      <c r="F57" s="50"/>
      <c r="G57" s="50"/>
    </row>
    <row r="58">
      <c r="A58" s="70"/>
      <c r="B58" s="50"/>
      <c r="C58" s="72"/>
      <c r="D58" s="50"/>
      <c r="E58" s="50"/>
      <c r="F58" s="50"/>
      <c r="G58" s="50"/>
    </row>
    <row r="59">
      <c r="A59" s="70"/>
      <c r="B59" s="50"/>
      <c r="C59" s="72"/>
      <c r="D59" s="50"/>
      <c r="E59" s="50"/>
      <c r="F59" s="50"/>
      <c r="G59" s="50"/>
    </row>
    <row r="60">
      <c r="A60" s="70"/>
      <c r="B60" s="50"/>
      <c r="C60" s="72"/>
      <c r="D60" s="50"/>
      <c r="E60" s="50"/>
      <c r="F60" s="50"/>
      <c r="G60" s="50"/>
    </row>
    <row r="61">
      <c r="A61" s="70"/>
      <c r="B61" s="50"/>
      <c r="C61" s="72"/>
      <c r="D61" s="50"/>
      <c r="E61" s="50"/>
      <c r="F61" s="50"/>
      <c r="G61" s="50"/>
    </row>
    <row r="62">
      <c r="A62" s="70"/>
      <c r="B62" s="50"/>
      <c r="C62" s="72"/>
      <c r="D62" s="50"/>
      <c r="E62" s="50"/>
      <c r="F62" s="50"/>
      <c r="G62" s="50"/>
    </row>
    <row r="63">
      <c r="A63" s="70"/>
      <c r="B63" s="50"/>
      <c r="C63" s="72"/>
      <c r="D63" s="50"/>
      <c r="E63" s="50"/>
      <c r="F63" s="50"/>
      <c r="G63" s="50"/>
    </row>
    <row r="64">
      <c r="A64" s="70"/>
      <c r="B64" s="50"/>
      <c r="C64" s="72"/>
      <c r="D64" s="50"/>
      <c r="E64" s="50"/>
      <c r="F64" s="50"/>
      <c r="G64" s="50"/>
    </row>
    <row r="65">
      <c r="A65" s="70"/>
      <c r="B65" s="50"/>
      <c r="C65" s="72"/>
      <c r="D65" s="50"/>
      <c r="E65" s="50"/>
      <c r="F65" s="50"/>
      <c r="G65" s="50"/>
    </row>
    <row r="66">
      <c r="A66" s="70"/>
      <c r="B66" s="50"/>
      <c r="C66" s="72"/>
      <c r="D66" s="50"/>
      <c r="E66" s="50"/>
      <c r="F66" s="50"/>
      <c r="G66" s="50"/>
    </row>
    <row r="67">
      <c r="A67" s="70"/>
      <c r="B67" s="50"/>
      <c r="C67" s="72"/>
      <c r="D67" s="50"/>
      <c r="E67" s="50"/>
      <c r="F67" s="50"/>
      <c r="G67" s="50"/>
    </row>
    <row r="68">
      <c r="A68" s="70"/>
      <c r="B68" s="50"/>
      <c r="C68" s="72"/>
      <c r="D68" s="50"/>
      <c r="E68" s="50"/>
      <c r="F68" s="50"/>
      <c r="G68" s="50"/>
    </row>
    <row r="69">
      <c r="A69" s="70"/>
      <c r="B69" s="50"/>
      <c r="C69" s="72"/>
      <c r="D69" s="50"/>
      <c r="E69" s="50"/>
      <c r="F69" s="50"/>
      <c r="G69" s="50"/>
    </row>
    <row r="70">
      <c r="A70" s="70"/>
      <c r="B70" s="50"/>
      <c r="C70" s="72"/>
      <c r="D70" s="50"/>
      <c r="E70" s="50"/>
      <c r="F70" s="50"/>
      <c r="G70" s="50"/>
    </row>
    <row r="71">
      <c r="A71" s="70"/>
      <c r="B71" s="50"/>
      <c r="C71" s="72"/>
      <c r="D71" s="50"/>
      <c r="E71" s="50"/>
      <c r="F71" s="50"/>
      <c r="G71" s="50"/>
    </row>
    <row r="72">
      <c r="A72" s="70"/>
      <c r="B72" s="50"/>
      <c r="C72" s="72"/>
      <c r="D72" s="50"/>
      <c r="E72" s="50"/>
      <c r="F72" s="50"/>
      <c r="G72" s="50"/>
    </row>
    <row r="73">
      <c r="A73" s="70"/>
      <c r="B73" s="50"/>
      <c r="C73" s="72"/>
      <c r="D73" s="50"/>
      <c r="E73" s="50"/>
      <c r="F73" s="50"/>
      <c r="G73" s="50"/>
    </row>
    <row r="74">
      <c r="A74" s="70"/>
      <c r="B74" s="50"/>
      <c r="C74" s="72"/>
      <c r="D74" s="50"/>
      <c r="E74" s="50"/>
      <c r="F74" s="50"/>
      <c r="G74" s="50"/>
    </row>
    <row r="75">
      <c r="A75" s="70"/>
      <c r="B75" s="50"/>
      <c r="C75" s="72"/>
      <c r="D75" s="50"/>
      <c r="E75" s="50"/>
      <c r="F75" s="50"/>
      <c r="G75" s="50"/>
    </row>
    <row r="76">
      <c r="A76" s="70"/>
      <c r="B76" s="50"/>
      <c r="C76" s="72"/>
      <c r="D76" s="50"/>
      <c r="E76" s="50"/>
      <c r="F76" s="50"/>
      <c r="G76" s="50"/>
    </row>
    <row r="77">
      <c r="A77" s="70"/>
      <c r="B77" s="50"/>
      <c r="C77" s="72"/>
      <c r="D77" s="50"/>
      <c r="E77" s="50"/>
      <c r="F77" s="50"/>
      <c r="G77" s="50"/>
    </row>
    <row r="78">
      <c r="A78" s="70"/>
      <c r="B78" s="50"/>
      <c r="C78" s="72"/>
      <c r="D78" s="50"/>
      <c r="E78" s="50"/>
      <c r="F78" s="50"/>
      <c r="G78" s="50"/>
    </row>
    <row r="79">
      <c r="A79" s="70"/>
      <c r="B79" s="50"/>
      <c r="C79" s="72"/>
      <c r="D79" s="50"/>
      <c r="E79" s="50"/>
      <c r="F79" s="50"/>
      <c r="G79" s="50"/>
    </row>
    <row r="80">
      <c r="A80" s="70"/>
      <c r="B80" s="50"/>
      <c r="C80" s="72"/>
      <c r="D80" s="50"/>
      <c r="E80" s="50"/>
      <c r="F80" s="50"/>
      <c r="G80" s="50"/>
    </row>
    <row r="81">
      <c r="A81" s="70"/>
      <c r="B81" s="50"/>
      <c r="C81" s="72"/>
      <c r="D81" s="50"/>
      <c r="E81" s="50"/>
      <c r="F81" s="50"/>
      <c r="G81" s="50"/>
    </row>
    <row r="82">
      <c r="A82" s="70"/>
      <c r="B82" s="50"/>
      <c r="C82" s="72"/>
      <c r="D82" s="50"/>
      <c r="E82" s="50"/>
      <c r="F82" s="50"/>
      <c r="G82" s="50"/>
    </row>
    <row r="83">
      <c r="A83" s="70"/>
      <c r="B83" s="50"/>
      <c r="C83" s="72"/>
      <c r="D83" s="50"/>
      <c r="E83" s="50"/>
      <c r="F83" s="50"/>
      <c r="G83" s="50"/>
    </row>
    <row r="84">
      <c r="A84" s="70"/>
      <c r="B84" s="50"/>
      <c r="C84" s="72"/>
      <c r="D84" s="50"/>
      <c r="E84" s="50"/>
      <c r="F84" s="50"/>
      <c r="G84" s="50"/>
    </row>
    <row r="85">
      <c r="A85" s="70"/>
      <c r="B85" s="50"/>
      <c r="C85" s="72"/>
      <c r="D85" s="50"/>
      <c r="E85" s="50"/>
      <c r="F85" s="50"/>
      <c r="G85" s="50"/>
    </row>
    <row r="86">
      <c r="A86" s="70"/>
      <c r="B86" s="50"/>
      <c r="C86" s="72"/>
      <c r="D86" s="50"/>
      <c r="E86" s="50"/>
      <c r="F86" s="50"/>
      <c r="G86" s="50"/>
    </row>
    <row r="87">
      <c r="A87" s="70"/>
      <c r="B87" s="50"/>
      <c r="C87" s="72"/>
      <c r="D87" s="50"/>
      <c r="E87" s="50"/>
      <c r="F87" s="50"/>
      <c r="G87" s="50"/>
    </row>
    <row r="88">
      <c r="A88" s="70"/>
      <c r="B88" s="50"/>
      <c r="C88" s="72"/>
      <c r="D88" s="50"/>
      <c r="E88" s="50"/>
      <c r="F88" s="50"/>
      <c r="G88" s="50"/>
    </row>
    <row r="89">
      <c r="A89" s="70"/>
      <c r="B89" s="50"/>
      <c r="C89" s="72"/>
      <c r="D89" s="50"/>
      <c r="E89" s="50"/>
      <c r="F89" s="50"/>
      <c r="G89" s="50"/>
    </row>
    <row r="90">
      <c r="A90" s="70"/>
      <c r="B90" s="50"/>
      <c r="C90" s="72"/>
      <c r="D90" s="50"/>
      <c r="E90" s="50"/>
      <c r="F90" s="50"/>
      <c r="G90" s="50"/>
    </row>
    <row r="91">
      <c r="A91" s="70"/>
      <c r="B91" s="50"/>
      <c r="C91" s="72"/>
      <c r="D91" s="50"/>
      <c r="E91" s="50"/>
      <c r="F91" s="50"/>
      <c r="G91" s="50"/>
    </row>
    <row r="92">
      <c r="A92" s="70"/>
      <c r="B92" s="50"/>
      <c r="C92" s="72"/>
      <c r="D92" s="50"/>
      <c r="E92" s="50"/>
      <c r="F92" s="50"/>
      <c r="G92" s="50"/>
    </row>
    <row r="93">
      <c r="A93" s="70"/>
      <c r="B93" s="50"/>
      <c r="C93" s="72"/>
      <c r="D93" s="50"/>
      <c r="E93" s="50"/>
      <c r="F93" s="50"/>
      <c r="G93" s="50"/>
    </row>
    <row r="94">
      <c r="A94" s="70"/>
      <c r="B94" s="50"/>
      <c r="C94" s="72"/>
      <c r="D94" s="50"/>
      <c r="E94" s="50"/>
      <c r="F94" s="50"/>
      <c r="G94" s="50"/>
    </row>
    <row r="95">
      <c r="A95" s="70"/>
      <c r="B95" s="50"/>
      <c r="C95" s="72"/>
      <c r="D95" s="50"/>
      <c r="E95" s="50"/>
      <c r="F95" s="50"/>
      <c r="G95" s="50"/>
    </row>
    <row r="96">
      <c r="A96" s="70"/>
      <c r="B96" s="50"/>
      <c r="C96" s="72"/>
      <c r="D96" s="50"/>
      <c r="E96" s="50"/>
      <c r="F96" s="50"/>
      <c r="G96" s="50"/>
    </row>
    <row r="97">
      <c r="A97" s="70"/>
      <c r="B97" s="50"/>
      <c r="C97" s="72"/>
      <c r="D97" s="50"/>
      <c r="E97" s="50"/>
      <c r="F97" s="50"/>
      <c r="G97" s="50"/>
    </row>
    <row r="98">
      <c r="A98" s="70"/>
      <c r="B98" s="50"/>
      <c r="C98" s="72"/>
      <c r="D98" s="50"/>
      <c r="E98" s="50"/>
      <c r="F98" s="50"/>
      <c r="G98" s="50"/>
    </row>
    <row r="99">
      <c r="A99" s="70"/>
      <c r="B99" s="50"/>
      <c r="C99" s="72"/>
      <c r="D99" s="50"/>
      <c r="E99" s="50"/>
      <c r="F99" s="50"/>
      <c r="G99" s="50"/>
    </row>
    <row r="100">
      <c r="A100" s="70"/>
      <c r="B100" s="50"/>
      <c r="C100" s="72"/>
      <c r="D100" s="50"/>
      <c r="E100" s="50"/>
      <c r="F100" s="50"/>
      <c r="G100" s="50"/>
    </row>
  </sheetData>
  <dataValidations>
    <dataValidation type="decimal" operator="greaterThan" allowBlank="1" showDropDown="1" showErrorMessage="1" sqref="B2:B100">
      <formula1>0.0</formula1>
    </dataValidation>
  </dataValidations>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27.63"/>
    <col customWidth="1" min="2" max="2" width="32.63"/>
  </cols>
  <sheetData>
    <row r="1">
      <c r="A1" s="79" t="s">
        <v>67</v>
      </c>
    </row>
    <row r="2">
      <c r="B2" s="80" t="s">
        <v>68</v>
      </c>
    </row>
    <row r="5">
      <c r="A5" s="81" t="s">
        <v>69</v>
      </c>
      <c r="B5" s="82" t="s">
        <v>70</v>
      </c>
    </row>
    <row r="6">
      <c r="A6" s="81" t="s">
        <v>71</v>
      </c>
      <c r="B6" s="83">
        <v>2026.0</v>
      </c>
    </row>
    <row r="7">
      <c r="A7" s="81" t="s">
        <v>72</v>
      </c>
      <c r="B7" s="84">
        <f>SUM('Log Utilizzi'!C:C)</f>
        <v>91</v>
      </c>
    </row>
    <row r="8">
      <c r="A8" s="81" t="s">
        <v>73</v>
      </c>
      <c r="B8" s="85" t="str">
        <f>Impostazioni!B8</f>
        <v>gianpiero.torrisi@gmail.com</v>
      </c>
    </row>
    <row r="9">
      <c r="A9" s="81" t="s">
        <v>74</v>
      </c>
      <c r="B9" s="85"/>
    </row>
    <row r="10">
      <c r="A10" s="81" t="s">
        <v>75</v>
      </c>
      <c r="B10" s="86" t="s">
        <v>76</v>
      </c>
    </row>
    <row r="12">
      <c r="A12" s="87" t="s">
        <v>77</v>
      </c>
      <c r="B12" s="88" t="s">
        <v>78</v>
      </c>
      <c r="C12" s="89"/>
      <c r="D12" s="89"/>
      <c r="E12" s="89"/>
      <c r="F12" s="90"/>
    </row>
    <row r="13">
      <c r="B13" s="91"/>
      <c r="F13" s="92"/>
    </row>
    <row r="14">
      <c r="B14" s="91"/>
      <c r="F14" s="92"/>
    </row>
    <row r="15">
      <c r="B15" s="93"/>
      <c r="C15" s="94"/>
      <c r="D15" s="94"/>
      <c r="E15" s="94"/>
      <c r="F15" s="95"/>
    </row>
  </sheetData>
  <mergeCells count="1">
    <mergeCell ref="B12:F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cols>
    <col customWidth="1" min="1" max="1" width="29.25"/>
    <col customWidth="1" min="2" max="2" width="67.5"/>
  </cols>
  <sheetData>
    <row r="1" ht="27.0" customHeight="1">
      <c r="A1" s="96" t="s">
        <v>79</v>
      </c>
      <c r="B1" s="97">
        <v>5.0</v>
      </c>
      <c r="C1" s="21"/>
      <c r="D1" s="21"/>
      <c r="E1" s="21"/>
    </row>
    <row r="2">
      <c r="A2" s="98" t="s">
        <v>80</v>
      </c>
      <c r="B2" s="99" t="s">
        <v>81</v>
      </c>
      <c r="C2" s="21"/>
      <c r="D2" s="21"/>
      <c r="E2" s="21"/>
    </row>
    <row r="3">
      <c r="A3" s="98" t="s">
        <v>82</v>
      </c>
      <c r="B3" s="100" t="s">
        <v>49</v>
      </c>
      <c r="C3" s="21"/>
      <c r="D3" s="21"/>
      <c r="E3" s="21"/>
    </row>
    <row r="4">
      <c r="A4" s="98" t="s">
        <v>83</v>
      </c>
      <c r="B4" s="100" t="s">
        <v>84</v>
      </c>
      <c r="C4" s="21"/>
      <c r="D4" s="21"/>
      <c r="E4" s="21"/>
    </row>
    <row r="5">
      <c r="A5" s="98" t="s">
        <v>85</v>
      </c>
      <c r="B5" s="100" t="s">
        <v>86</v>
      </c>
      <c r="C5" s="21"/>
      <c r="D5" s="21"/>
      <c r="E5" s="21"/>
    </row>
    <row r="6" ht="37.5" customHeight="1">
      <c r="A6" s="98" t="s">
        <v>87</v>
      </c>
      <c r="B6" s="100" t="s">
        <v>88</v>
      </c>
      <c r="C6" s="21"/>
      <c r="D6" s="21"/>
      <c r="E6" s="21"/>
    </row>
    <row r="7">
      <c r="A7" s="103" t="s">
        <v>90</v>
      </c>
      <c r="B7" s="100" t="s">
        <v>92</v>
      </c>
      <c r="C7" s="21"/>
      <c r="D7" s="21"/>
      <c r="E7" s="21"/>
    </row>
    <row r="8">
      <c r="A8" s="106" t="s">
        <v>93</v>
      </c>
      <c r="B8" s="108" t="s">
        <v>35</v>
      </c>
      <c r="C8" s="21"/>
      <c r="D8" s="21"/>
      <c r="E8" s="21"/>
    </row>
    <row r="9">
      <c r="A9" s="106" t="s">
        <v>96</v>
      </c>
      <c r="B9" s="108">
        <v>6524940.0</v>
      </c>
      <c r="C9" s="21"/>
      <c r="D9" s="21"/>
      <c r="E9" s="21"/>
    </row>
    <row r="10">
      <c r="A10" s="106" t="s">
        <v>97</v>
      </c>
      <c r="B10" s="108">
        <f>MAX(B9, IFERROR(MAX(Alunni!$E$2:$E100), 0), IFERROR(MAX(Famiglie!$A$2:$A100), 0)) + 1</f>
        <v>6524941</v>
      </c>
      <c r="C10" s="21"/>
      <c r="D10" s="21"/>
      <c r="E10" s="21"/>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556"/>
    <outlinePr summaryBelow="0" summaryRight="0"/>
  </sheetPr>
  <sheetViews>
    <sheetView showGridLines="0" workbookViewId="0"/>
  </sheetViews>
  <sheetFormatPr customHeight="1" defaultColWidth="12.63" defaultRowHeight="15.75"/>
  <cols>
    <col customWidth="1" min="1" max="1" width="3.25"/>
    <col customWidth="1" min="2" max="2" width="22.0"/>
    <col customWidth="1" min="3" max="3" width="30.13"/>
    <col customWidth="1" min="4" max="4" width="42.63"/>
    <col customWidth="1" min="5" max="5" width="48.88"/>
    <col customWidth="1" min="6" max="6" width="35.13"/>
  </cols>
  <sheetData>
    <row r="2" ht="33.0" customHeight="1">
      <c r="B2" s="102" t="s">
        <v>89</v>
      </c>
    </row>
    <row r="3" ht="19.5" customHeight="1">
      <c r="B3" s="105" t="s">
        <v>91</v>
      </c>
    </row>
    <row r="5" ht="24.0" customHeight="1">
      <c r="B5" s="107" t="s">
        <v>94</v>
      </c>
    </row>
    <row r="6" ht="21.0" customHeight="1">
      <c r="B6" s="110" t="s">
        <v>95</v>
      </c>
      <c r="C6" s="112" t="s">
        <v>98</v>
      </c>
      <c r="D6" s="112" t="s">
        <v>99</v>
      </c>
      <c r="E6" s="112" t="s">
        <v>100</v>
      </c>
      <c r="F6" s="113" t="s">
        <v>101</v>
      </c>
    </row>
    <row r="7">
      <c r="B7" s="115" t="s">
        <v>102</v>
      </c>
      <c r="C7" s="116" t="s">
        <v>103</v>
      </c>
      <c r="D7" s="116" t="s">
        <v>104</v>
      </c>
      <c r="E7" s="116" t="s">
        <v>105</v>
      </c>
      <c r="F7" s="117" t="s">
        <v>106</v>
      </c>
    </row>
    <row r="8">
      <c r="B8" s="119" t="s">
        <v>107</v>
      </c>
      <c r="C8" s="120" t="s">
        <v>108</v>
      </c>
      <c r="D8" s="120" t="s">
        <v>109</v>
      </c>
      <c r="E8" s="120" t="s">
        <v>110</v>
      </c>
      <c r="F8" s="122" t="s">
        <v>111</v>
      </c>
    </row>
    <row r="9">
      <c r="B9" s="115" t="s">
        <v>112</v>
      </c>
      <c r="C9" s="116" t="s">
        <v>113</v>
      </c>
      <c r="D9" s="116" t="s">
        <v>114</v>
      </c>
      <c r="E9" s="116" t="s">
        <v>115</v>
      </c>
      <c r="F9" s="117" t="s">
        <v>116</v>
      </c>
    </row>
    <row r="10">
      <c r="B10" s="119" t="s">
        <v>117</v>
      </c>
      <c r="C10" s="120" t="s">
        <v>118</v>
      </c>
      <c r="D10" s="120" t="s">
        <v>119</v>
      </c>
      <c r="E10" s="120" t="s">
        <v>120</v>
      </c>
      <c r="F10" s="122" t="s">
        <v>121</v>
      </c>
    </row>
    <row r="11">
      <c r="B11" s="124" t="s">
        <v>122</v>
      </c>
      <c r="C11" s="125" t="s">
        <v>123</v>
      </c>
      <c r="D11" s="125" t="s">
        <v>124</v>
      </c>
      <c r="E11" s="125" t="s">
        <v>125</v>
      </c>
      <c r="F11" s="126" t="s">
        <v>126</v>
      </c>
    </row>
    <row r="13" ht="24.0" customHeight="1">
      <c r="B13" s="107" t="s">
        <v>127</v>
      </c>
    </row>
    <row r="14" ht="21.0" customHeight="1">
      <c r="B14" s="110" t="s">
        <v>128</v>
      </c>
      <c r="C14" s="112" t="s">
        <v>129</v>
      </c>
      <c r="D14" s="112" t="s">
        <v>130</v>
      </c>
      <c r="E14" s="112" t="s">
        <v>131</v>
      </c>
      <c r="F14" s="113" t="s">
        <v>132</v>
      </c>
    </row>
    <row r="15">
      <c r="B15" s="115" t="s">
        <v>133</v>
      </c>
      <c r="C15" s="116" t="s">
        <v>134</v>
      </c>
      <c r="D15" s="116" t="s">
        <v>135</v>
      </c>
      <c r="E15" s="116" t="s">
        <v>136</v>
      </c>
      <c r="F15" s="117" t="s">
        <v>137</v>
      </c>
    </row>
    <row r="16">
      <c r="B16" s="119" t="s">
        <v>138</v>
      </c>
      <c r="C16" s="120" t="s">
        <v>139</v>
      </c>
      <c r="D16" s="120" t="s">
        <v>140</v>
      </c>
      <c r="E16" s="120" t="s">
        <v>141</v>
      </c>
      <c r="F16" s="122" t="s">
        <v>142</v>
      </c>
    </row>
    <row r="17">
      <c r="B17" s="115" t="s">
        <v>143</v>
      </c>
      <c r="C17" s="116" t="s">
        <v>144</v>
      </c>
      <c r="D17" s="116" t="s">
        <v>145</v>
      </c>
      <c r="E17" s="116" t="s">
        <v>146</v>
      </c>
      <c r="F17" s="117" t="s">
        <v>147</v>
      </c>
    </row>
    <row r="18">
      <c r="B18" s="119" t="s">
        <v>148</v>
      </c>
      <c r="C18" s="120" t="s">
        <v>149</v>
      </c>
      <c r="D18" s="120" t="s">
        <v>150</v>
      </c>
      <c r="E18" s="120" t="s">
        <v>151</v>
      </c>
      <c r="F18" s="122" t="s">
        <v>152</v>
      </c>
    </row>
    <row r="19">
      <c r="B19" s="115" t="s">
        <v>153</v>
      </c>
      <c r="C19" s="116" t="s">
        <v>154</v>
      </c>
      <c r="D19" s="116" t="s">
        <v>155</v>
      </c>
      <c r="E19" s="116" t="s">
        <v>156</v>
      </c>
      <c r="F19" s="117" t="s">
        <v>157</v>
      </c>
    </row>
    <row r="20">
      <c r="B20" s="119" t="s">
        <v>158</v>
      </c>
      <c r="C20" s="120" t="s">
        <v>159</v>
      </c>
      <c r="D20" s="120" t="s">
        <v>160</v>
      </c>
      <c r="E20" s="120" t="s">
        <v>161</v>
      </c>
      <c r="F20" s="122" t="s">
        <v>162</v>
      </c>
    </row>
    <row r="21">
      <c r="B21" s="124" t="s">
        <v>163</v>
      </c>
      <c r="C21" s="125" t="s">
        <v>164</v>
      </c>
      <c r="D21" s="125" t="s">
        <v>165</v>
      </c>
      <c r="E21" s="125" t="s">
        <v>166</v>
      </c>
      <c r="F21" s="126" t="s">
        <v>167</v>
      </c>
    </row>
    <row r="23" ht="24.0" customHeight="1">
      <c r="B23" s="107" t="s">
        <v>168</v>
      </c>
    </row>
    <row r="24" ht="21.0" customHeight="1">
      <c r="B24" s="110" t="s">
        <v>169</v>
      </c>
      <c r="C24" s="112" t="s">
        <v>170</v>
      </c>
      <c r="D24" s="112" t="s">
        <v>171</v>
      </c>
      <c r="E24" s="112" t="s">
        <v>172</v>
      </c>
      <c r="F24" s="113" t="s">
        <v>173</v>
      </c>
    </row>
    <row r="25">
      <c r="B25" s="115" t="s">
        <v>174</v>
      </c>
      <c r="C25" s="116" t="s">
        <v>103</v>
      </c>
      <c r="D25" s="116" t="s">
        <v>175</v>
      </c>
      <c r="E25" s="116" t="s">
        <v>176</v>
      </c>
      <c r="F25" s="117" t="s">
        <v>177</v>
      </c>
    </row>
    <row r="26">
      <c r="B26" s="119" t="s">
        <v>178</v>
      </c>
      <c r="C26" s="120" t="s">
        <v>179</v>
      </c>
      <c r="D26" s="120" t="s">
        <v>180</v>
      </c>
      <c r="E26" s="120" t="s">
        <v>181</v>
      </c>
      <c r="F26" s="122" t="s">
        <v>182</v>
      </c>
    </row>
    <row r="27">
      <c r="B27" s="115" t="s">
        <v>183</v>
      </c>
      <c r="C27" s="116" t="s">
        <v>103</v>
      </c>
      <c r="D27" s="116" t="s">
        <v>184</v>
      </c>
      <c r="E27" s="116" t="s">
        <v>185</v>
      </c>
      <c r="F27" s="117" t="s">
        <v>186</v>
      </c>
    </row>
    <row r="28">
      <c r="B28" s="119" t="s">
        <v>187</v>
      </c>
      <c r="C28" s="120" t="s">
        <v>188</v>
      </c>
      <c r="D28" s="120" t="s">
        <v>189</v>
      </c>
      <c r="E28" s="120" t="s">
        <v>190</v>
      </c>
      <c r="F28" s="122" t="s">
        <v>191</v>
      </c>
    </row>
    <row r="29">
      <c r="B29" s="124" t="s">
        <v>192</v>
      </c>
      <c r="C29" s="125" t="s">
        <v>193</v>
      </c>
      <c r="D29" s="125" t="s">
        <v>194</v>
      </c>
      <c r="E29" s="125" t="s">
        <v>195</v>
      </c>
      <c r="F29" s="126" t="s">
        <v>196</v>
      </c>
    </row>
    <row r="31" ht="27.0" customHeight="1">
      <c r="B31" s="127" t="s">
        <v>197</v>
      </c>
      <c r="C31" s="128"/>
      <c r="D31" s="128"/>
      <c r="E31" s="128"/>
      <c r="F31" s="129"/>
    </row>
  </sheetData>
  <mergeCells count="6">
    <mergeCell ref="B2:F2"/>
    <mergeCell ref="B3:F3"/>
    <mergeCell ref="B5:F5"/>
    <mergeCell ref="B13:F13"/>
    <mergeCell ref="B23:F23"/>
    <mergeCell ref="B31:F3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22.63"/>
    <col customWidth="1" min="3" max="3" width="25.13"/>
    <col customWidth="1" min="4" max="4" width="16.38"/>
    <col customWidth="1" min="5" max="5" width="17.63"/>
    <col customWidth="1" min="6" max="6" width="16.38"/>
    <col customWidth="1" min="7" max="7" width="25.13"/>
    <col customWidth="1" min="8" max="8" width="13.88"/>
  </cols>
  <sheetData>
    <row r="1" ht="28.5" customHeight="1">
      <c r="B1" s="130" t="s">
        <v>198</v>
      </c>
    </row>
    <row r="2" ht="19.5" customHeight="1">
      <c r="B2" s="131" t="s">
        <v>199</v>
      </c>
    </row>
    <row r="4" ht="18.0" customHeight="1">
      <c r="B4" s="132" t="s">
        <v>200</v>
      </c>
      <c r="C4" s="133"/>
      <c r="D4" s="134" t="s">
        <v>201</v>
      </c>
      <c r="E4" s="135"/>
      <c r="F4" s="136" t="s">
        <v>202</v>
      </c>
      <c r="G4" s="137"/>
    </row>
    <row r="5" ht="28.5" customHeight="1">
      <c r="B5" s="138">
        <f>Impostazioni!B10</f>
        <v>6524941</v>
      </c>
      <c r="C5" s="139"/>
      <c r="D5" s="140">
        <f>COUNTA(Alunni!B2:B51)</f>
        <v>5</v>
      </c>
      <c r="E5" s="141"/>
      <c r="F5" s="142">
        <f>Impostazioni!B9</f>
        <v>6524940</v>
      </c>
      <c r="G5" s="143"/>
    </row>
    <row r="7" ht="22.5" customHeight="1">
      <c r="B7" s="144" t="s">
        <v>203</v>
      </c>
      <c r="C7" s="145"/>
      <c r="E7" s="146" t="s">
        <v>204</v>
      </c>
      <c r="F7" s="147"/>
      <c r="G7" s="147"/>
      <c r="H7" s="148"/>
    </row>
    <row r="8">
      <c r="B8" s="149" t="s">
        <v>205</v>
      </c>
      <c r="C8" s="150" t="s">
        <v>206</v>
      </c>
      <c r="E8" s="151" t="s">
        <v>207</v>
      </c>
      <c r="F8" s="152" t="s">
        <v>208</v>
      </c>
      <c r="G8" s="153"/>
      <c r="H8" s="154"/>
    </row>
    <row r="9">
      <c r="B9" s="155" t="s">
        <v>209</v>
      </c>
      <c r="C9" s="156">
        <f>Impostazioni!B10</f>
        <v>6524941</v>
      </c>
      <c r="E9" s="157" t="s">
        <v>210</v>
      </c>
      <c r="F9" s="158" t="s">
        <v>211</v>
      </c>
      <c r="G9" s="153"/>
      <c r="H9" s="154"/>
    </row>
    <row r="10">
      <c r="B10" s="155" t="s">
        <v>212</v>
      </c>
      <c r="C10" s="159"/>
      <c r="E10" s="157" t="s">
        <v>213</v>
      </c>
      <c r="F10" s="158" t="s">
        <v>214</v>
      </c>
      <c r="G10" s="153"/>
      <c r="H10" s="154"/>
    </row>
    <row r="11">
      <c r="B11" s="155" t="s">
        <v>215</v>
      </c>
      <c r="C11" s="159"/>
      <c r="E11" s="157" t="s">
        <v>216</v>
      </c>
      <c r="F11" s="158" t="s">
        <v>217</v>
      </c>
      <c r="G11" s="153"/>
      <c r="H11" s="154"/>
    </row>
    <row r="12">
      <c r="B12" s="155" t="s">
        <v>218</v>
      </c>
      <c r="C12" s="160"/>
      <c r="E12" s="157" t="s">
        <v>219</v>
      </c>
      <c r="F12" s="158" t="s">
        <v>220</v>
      </c>
      <c r="G12" s="153"/>
      <c r="H12" s="154"/>
    </row>
    <row r="13">
      <c r="B13" s="155" t="s">
        <v>221</v>
      </c>
      <c r="C13" s="159"/>
      <c r="E13" s="161" t="s">
        <v>222</v>
      </c>
      <c r="F13" s="162" t="s">
        <v>223</v>
      </c>
      <c r="G13" s="163"/>
      <c r="H13" s="164"/>
    </row>
    <row r="14">
      <c r="B14" s="155" t="s">
        <v>224</v>
      </c>
      <c r="C14" s="159"/>
    </row>
    <row r="15">
      <c r="B15" s="155" t="s">
        <v>225</v>
      </c>
      <c r="C15" s="159"/>
    </row>
    <row r="16">
      <c r="B16" s="155" t="s">
        <v>226</v>
      </c>
      <c r="C16" s="159"/>
    </row>
    <row r="17">
      <c r="B17" s="165" t="s">
        <v>227</v>
      </c>
      <c r="C17" s="166"/>
    </row>
    <row r="18" ht="27.0" customHeight="1">
      <c r="B18" s="167" t="b">
        <v>0</v>
      </c>
      <c r="C18" s="168"/>
    </row>
    <row r="19" ht="27.0" customHeight="1">
      <c r="B19" s="169" t="s">
        <v>228</v>
      </c>
    </row>
    <row r="20" ht="22.5" customHeight="1">
      <c r="B20" s="170" t="s">
        <v>229</v>
      </c>
      <c r="C20" s="171"/>
      <c r="D20" s="171"/>
      <c r="E20" s="171"/>
      <c r="F20" s="171"/>
      <c r="G20" s="171"/>
      <c r="H20" s="172"/>
    </row>
    <row r="21" ht="21.0" customHeight="1">
      <c r="B21" s="173" t="s">
        <v>19</v>
      </c>
      <c r="C21" s="174" t="s">
        <v>7</v>
      </c>
      <c r="D21" s="174" t="s">
        <v>8</v>
      </c>
      <c r="E21" s="174" t="s">
        <v>230</v>
      </c>
      <c r="F21" s="174" t="s">
        <v>231</v>
      </c>
      <c r="G21" s="174" t="s">
        <v>15</v>
      </c>
      <c r="H21" s="175" t="s">
        <v>232</v>
      </c>
    </row>
    <row r="22">
      <c r="B22" s="176">
        <f>IF(Alunni!E2="","",Alunni!E2)</f>
        <v>6524939</v>
      </c>
      <c r="C22" s="177" t="str">
        <f>IF(Alunni!B2="","",Alunni!B2)</f>
        <v>Mario</v>
      </c>
      <c r="D22" s="177" t="str">
        <f>IF(Alunni!C2="","",Alunni!C2)</f>
        <v>Rossi</v>
      </c>
      <c r="E22" s="177">
        <f>IF(Alunni!I2="","",Alunni!I2)</f>
        <v>3</v>
      </c>
      <c r="F22" s="177" t="str">
        <f>IF(Alunni!J2="","",Alunni!J2)</f>
        <v>Inviare Avviso</v>
      </c>
      <c r="G22" s="177" t="str">
        <f>IF(Alunni!K2="","",Alunni!K2)</f>
        <v>gianpiero.torrisi@gmail.com</v>
      </c>
      <c r="H22" s="178" t="str">
        <f>IF(Alunni!L2="","",Alunni!L2)</f>
        <v>Inviato</v>
      </c>
    </row>
    <row r="23">
      <c r="B23" s="176">
        <f>IF(Alunni!E3="","",Alunni!E3)</f>
        <v>3848055</v>
      </c>
      <c r="C23" s="177" t="str">
        <f>IF(Alunni!B3="","",Alunni!B3)</f>
        <v>Bianca</v>
      </c>
      <c r="D23" s="177" t="str">
        <f>IF(Alunni!C3="","",Alunni!C3)</f>
        <v>Bianchi</v>
      </c>
      <c r="E23" s="177">
        <f>IF(Alunni!I3="","",Alunni!I3)</f>
        <v>6</v>
      </c>
      <c r="F23" s="177" t="str">
        <f>IF(Alunni!J3="","",Alunni!J3)</f>
        <v>Sufficienti</v>
      </c>
      <c r="G23" s="177" t="str">
        <f>IF(Alunni!K3="","",Alunni!K3)</f>
        <v>email@email.com</v>
      </c>
      <c r="H23" s="178" t="str">
        <f>IF(Alunni!L3="","",Alunni!L3)</f>
        <v/>
      </c>
    </row>
    <row r="24">
      <c r="B24" s="176">
        <f>IF(Alunni!E4="","",Alunni!E4)</f>
        <v>5969695</v>
      </c>
      <c r="C24" s="177" t="str">
        <f>IF(Alunni!B4="","",Alunni!B4)</f>
        <v>Ciccio</v>
      </c>
      <c r="D24" s="177" t="str">
        <f>IF(Alunni!C4="","",Alunni!C4)</f>
        <v>Pasticcio</v>
      </c>
      <c r="E24" s="177">
        <f>IF(Alunni!I4="","",Alunni!I4)</f>
        <v>75</v>
      </c>
      <c r="F24" s="177" t="str">
        <f>IF(Alunni!J4="","",Alunni!J4)</f>
        <v>Sufficienti</v>
      </c>
      <c r="G24" s="177" t="str">
        <f>IF(Alunni!K4="","",Alunni!K4)</f>
        <v>email@email.com</v>
      </c>
      <c r="H24" s="178" t="str">
        <f>IF(Alunni!L4="","",Alunni!L4)</f>
        <v/>
      </c>
    </row>
    <row r="25">
      <c r="B25" s="176">
        <f>IF(Alunni!E5="","",Alunni!E5)</f>
        <v>1654165</v>
      </c>
      <c r="C25" s="177" t="str">
        <f>IF(Alunni!B5="","",Alunni!B5)</f>
        <v>Pinco</v>
      </c>
      <c r="D25" s="177" t="str">
        <f>IF(Alunni!C5="","",Alunni!C5)</f>
        <v>Pallo</v>
      </c>
      <c r="E25" s="177">
        <f>IF(Alunni!I5="","",Alunni!I5)</f>
        <v>4</v>
      </c>
      <c r="F25" s="177" t="str">
        <f>IF(Alunni!J5="","",Alunni!J5)</f>
        <v>Inviare Avviso</v>
      </c>
      <c r="G25" s="177" t="str">
        <f>IF(Alunni!K5="","",Alunni!K5)</f>
        <v>faroclaudio@gmail.com</v>
      </c>
      <c r="H25" s="178" t="str">
        <f>IF(Alunni!L5="","",Alunni!L5)</f>
        <v/>
      </c>
    </row>
    <row r="26">
      <c r="B26" s="176">
        <f>IF(Alunni!E6="","",Alunni!E6)</f>
        <v>6524940</v>
      </c>
      <c r="C26" s="177" t="str">
        <f>IF(Alunni!B6="","",Alunni!B6)</f>
        <v>tizio</v>
      </c>
      <c r="D26" s="177" t="str">
        <f>IF(Alunni!C6="","",Alunni!C6)</f>
        <v>caio</v>
      </c>
      <c r="E26" s="177">
        <f>IF(Alunni!I6="","",Alunni!I6)</f>
        <v>10</v>
      </c>
      <c r="F26" s="177" t="str">
        <f>IF(Alunni!J6="","",Alunni!J6)</f>
        <v>Sufficienti</v>
      </c>
      <c r="G26" s="177" t="str">
        <f>IF(Alunni!K6="","",Alunni!K6)</f>
        <v>faroclaudio@gmail.com</v>
      </c>
      <c r="H26" s="178" t="str">
        <f>IF(Alunni!L6="","",Alunni!L6)</f>
        <v/>
      </c>
    </row>
    <row r="27">
      <c r="B27" s="176" t="str">
        <f>IF(Alunni!E7="","",Alunni!E7)</f>
        <v/>
      </c>
      <c r="C27" s="177" t="str">
        <f>IF(Alunni!B7="","",Alunni!B7)</f>
        <v/>
      </c>
      <c r="D27" s="177" t="str">
        <f>IF(Alunni!C7="","",Alunni!C7)</f>
        <v/>
      </c>
      <c r="E27" s="177" t="str">
        <f>IF(Alunni!I7="","",Alunni!I7)</f>
        <v/>
      </c>
      <c r="F27" s="177" t="str">
        <f>IF(Alunni!J7="","",Alunni!J7)</f>
        <v/>
      </c>
      <c r="G27" s="177" t="str">
        <f>IF(Alunni!K7="","",Alunni!K7)</f>
        <v/>
      </c>
      <c r="H27" s="178" t="str">
        <f>IF(Alunni!L7="","",Alunni!L7)</f>
        <v/>
      </c>
    </row>
    <row r="28">
      <c r="B28" s="176" t="str">
        <f>IF(Alunni!E8="","",Alunni!E8)</f>
        <v/>
      </c>
      <c r="C28" s="177" t="str">
        <f>IF(Alunni!B8="","",Alunni!B8)</f>
        <v/>
      </c>
      <c r="D28" s="177" t="str">
        <f>IF(Alunni!C8="","",Alunni!C8)</f>
        <v/>
      </c>
      <c r="E28" s="177" t="str">
        <f>IF(Alunni!I8="","",Alunni!I8)</f>
        <v/>
      </c>
      <c r="F28" s="177" t="str">
        <f>IF(Alunni!J8="","",Alunni!J8)</f>
        <v/>
      </c>
      <c r="G28" s="177" t="str">
        <f>IF(Alunni!K8="","",Alunni!K8)</f>
        <v/>
      </c>
      <c r="H28" s="178" t="str">
        <f>IF(Alunni!L8="","",Alunni!L8)</f>
        <v/>
      </c>
    </row>
    <row r="29">
      <c r="B29" s="183" t="str">
        <f>IF(Alunni!E9="","",Alunni!E9)</f>
        <v/>
      </c>
      <c r="C29" s="184" t="str">
        <f>IF(Alunni!B9="","",Alunni!B9)</f>
        <v/>
      </c>
      <c r="D29" s="184" t="str">
        <f>IF(Alunni!C9="","",Alunni!C9)</f>
        <v/>
      </c>
      <c r="E29" s="184" t="str">
        <f>IF(Alunni!I9="","",Alunni!I9)</f>
        <v/>
      </c>
      <c r="F29" s="184" t="str">
        <f>IF(Alunni!J9="","",Alunni!J9)</f>
        <v/>
      </c>
      <c r="G29" s="184" t="str">
        <f>IF(Alunni!K9="","",Alunni!K9)</f>
        <v/>
      </c>
      <c r="H29" s="185" t="str">
        <f>IF(Alunni!L9="","",Alunni!L9)</f>
        <v/>
      </c>
    </row>
  </sheetData>
  <mergeCells count="19">
    <mergeCell ref="B5:C5"/>
    <mergeCell ref="B7:C7"/>
    <mergeCell ref="B18:C18"/>
    <mergeCell ref="B19:C19"/>
    <mergeCell ref="E7:H7"/>
    <mergeCell ref="F8:H8"/>
    <mergeCell ref="F9:H9"/>
    <mergeCell ref="F10:H10"/>
    <mergeCell ref="F11:H11"/>
    <mergeCell ref="F12:H12"/>
    <mergeCell ref="F13:H13"/>
    <mergeCell ref="B20:H20"/>
    <mergeCell ref="B1:H1"/>
    <mergeCell ref="B2:H2"/>
    <mergeCell ref="B4:C4"/>
    <mergeCell ref="D4:E4"/>
    <mergeCell ref="F4:G4"/>
    <mergeCell ref="D5:E5"/>
    <mergeCell ref="F5:G5"/>
  </mergeCells>
  <drawing r:id="rId1"/>
</worksheet>
</file>